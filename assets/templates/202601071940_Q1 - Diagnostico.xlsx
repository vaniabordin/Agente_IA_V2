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 10\Desktop\Cursos\Ciência de dados - DNC\Projeto II\FCJ TR4CTION x DNC\"/>
    </mc:Choice>
  </mc:AlternateContent>
  <xr:revisionPtr revIDLastSave="0" documentId="8_{9745220D-040E-4015-99E2-3CE8661CDC8E}" xr6:coauthVersionLast="47" xr6:coauthVersionMax="47" xr10:uidLastSave="{00000000-0000-0000-0000-000000000000}"/>
  <bookViews>
    <workbookView xWindow="-120" yWindow="-120" windowWidth="20730" windowHeight="11160" xr2:uid="{0862EBD0-2B17-43BC-BFD0-BA55C6042A3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40" i="1" l="1"/>
  <c r="F140" i="1" s="1"/>
  <c r="E139" i="1"/>
  <c r="F139" i="1" s="1"/>
  <c r="E138" i="1"/>
  <c r="F138" i="1" s="1"/>
  <c r="E137" i="1"/>
  <c r="F137" i="1" s="1"/>
  <c r="E136" i="1"/>
  <c r="E141" i="1" s="1"/>
  <c r="F136" i="1" l="1"/>
  <c r="F141" i="1" s="1"/>
</calcChain>
</file>

<file path=xl/sharedStrings.xml><?xml version="1.0" encoding="utf-8"?>
<sst xmlns="http://schemas.openxmlformats.org/spreadsheetml/2006/main" count="205" uniqueCount="181">
  <si>
    <t>1.0 Diagnóstico</t>
  </si>
  <si>
    <t>Startup:</t>
  </si>
  <si>
    <t xml:space="preserve">ClínicaX </t>
  </si>
  <si>
    <t>Fase:</t>
  </si>
  <si>
    <t>Q1</t>
  </si>
  <si>
    <t>Status:</t>
  </si>
  <si>
    <t>Finalizado</t>
  </si>
  <si>
    <t>Identificação da Startup</t>
  </si>
  <si>
    <t>Nome da Startup</t>
  </si>
  <si>
    <t>ClínicaX</t>
  </si>
  <si>
    <t>Data de início (Q1)</t>
  </si>
  <si>
    <t>Fundadores</t>
  </si>
  <si>
    <t>North Star Metric</t>
  </si>
  <si>
    <t>Setor / Segmento</t>
  </si>
  <si>
    <t>Objetivo do Programa</t>
  </si>
  <si>
    <t xml:space="preserve">Responsável </t>
  </si>
  <si>
    <t>Meta-Chave (até Q4)</t>
  </si>
  <si>
    <t>Contexto Estratégico (dados qualitativo)</t>
  </si>
  <si>
    <t>Produto e Estágio</t>
  </si>
  <si>
    <t>Já captou investimento?</t>
  </si>
  <si>
    <t>Sim (Anjo - R$300k)</t>
  </si>
  <si>
    <t>Possui produto validado?</t>
  </si>
  <si>
    <t>Sim, com 22 clínicas</t>
  </si>
  <si>
    <t>Quais problemas principais ele resolve?</t>
  </si>
  <si>
    <t>Controle de prontuários eletrônicos; Agendamento de pacientes; Redução de papéis, etc</t>
  </si>
  <si>
    <t>Modelo de receita</t>
  </si>
  <si>
    <t>SaaS (Software as a Service)</t>
  </si>
  <si>
    <t>Outros, quais?</t>
  </si>
  <si>
    <t>Estágio atual</t>
  </si>
  <si>
    <t>Tração</t>
  </si>
  <si>
    <t>Canal principal de aquisição hoje</t>
  </si>
  <si>
    <t>Indicação</t>
  </si>
  <si>
    <t>Conhece seu CAC e LTV?</t>
  </si>
  <si>
    <t>Ainda não</t>
  </si>
  <si>
    <t>Time</t>
  </si>
  <si>
    <t>Quantas pessoas estão no time hoje?</t>
  </si>
  <si>
    <t>11 pessoas no total</t>
  </si>
  <si>
    <t>Time atual de marketing (funções + nº pessoas)</t>
  </si>
  <si>
    <t>1 Analista de Marketing, 1 Estagiário</t>
  </si>
  <si>
    <t>Time atual de vendas (funções + nº pessoas)</t>
  </si>
  <si>
    <t>1 Comercial, 1 Suporte</t>
  </si>
  <si>
    <t>Quem toma as decisões de comunicação e growth?</t>
  </si>
  <si>
    <t>CEO e Analista de Marketing</t>
  </si>
  <si>
    <t>Contexto Estratégico (dados quantitativo)</t>
  </si>
  <si>
    <t>Valor Atual (Q1)</t>
  </si>
  <si>
    <t>Fonte / Observação</t>
  </si>
  <si>
    <t>Métricas Gerais</t>
  </si>
  <si>
    <t>MRR</t>
  </si>
  <si>
    <t>R$ 18.000,00</t>
  </si>
  <si>
    <t>Stripe</t>
  </si>
  <si>
    <t>Nº de clientes pagantes</t>
  </si>
  <si>
    <t>Planilha interna</t>
  </si>
  <si>
    <t>Ticket médio / ARR estimado</t>
  </si>
  <si>
    <t>R$ 818,00</t>
  </si>
  <si>
    <t>Calculado</t>
  </si>
  <si>
    <t>CAC (Custo de Aquisição de Clientes) estimado</t>
  </si>
  <si>
    <t>-</t>
  </si>
  <si>
    <t>Não rastreado</t>
  </si>
  <si>
    <t>LTV (Lifetime Value) estimado</t>
  </si>
  <si>
    <t>R$ 4.000,00</t>
  </si>
  <si>
    <t>Base em churn</t>
  </si>
  <si>
    <t>Churn médio mensal</t>
  </si>
  <si>
    <t>Média dos 3 últimos meses</t>
  </si>
  <si>
    <t>Número de leads/mês</t>
  </si>
  <si>
    <t>WhatsApp + CRM</t>
  </si>
  <si>
    <t>CPL (Custo por Lead)</t>
  </si>
  <si>
    <t>Não mede ainda</t>
  </si>
  <si>
    <t>Visitas no Site/mês</t>
  </si>
  <si>
    <t>GA-4</t>
  </si>
  <si>
    <t>Número de LPs ativas</t>
  </si>
  <si>
    <t>Usa somente site institucional</t>
  </si>
  <si>
    <t>Campanhas rodando</t>
  </si>
  <si>
    <t>Google Ads - institucional</t>
  </si>
  <si>
    <t>Testes de canal executados</t>
  </si>
  <si>
    <t>Nada validado ainda</t>
  </si>
  <si>
    <t>NPS</t>
  </si>
  <si>
    <t>Coletado via Typeform</t>
  </si>
  <si>
    <t>Seguidores Atual (Q1)</t>
  </si>
  <si>
    <t>Fonte / Link</t>
  </si>
  <si>
    <t>Métricas de Social</t>
  </si>
  <si>
    <t>Facebook</t>
  </si>
  <si>
    <t>Inserir link</t>
  </si>
  <si>
    <t>Instagram</t>
  </si>
  <si>
    <t>LinkedIn</t>
  </si>
  <si>
    <t>YouTube</t>
  </si>
  <si>
    <t>TikTok</t>
  </si>
  <si>
    <t xml:space="preserve">Twitter </t>
  </si>
  <si>
    <t>Pinterest</t>
  </si>
  <si>
    <t>Outros</t>
  </si>
  <si>
    <t>Avaliação de Maturidade (dados qualitativo)</t>
  </si>
  <si>
    <t xml:space="preserve">Avaliação feita com base em evidência, não achismo. Use:
</t>
  </si>
  <si>
    <t>1 = Inexistente</t>
  </si>
  <si>
    <t>2 = Iniciante</t>
  </si>
  <si>
    <t>3 = Funcional</t>
  </si>
  <si>
    <t>4 = Escalável</t>
  </si>
  <si>
    <t>Nota (1-4)</t>
  </si>
  <si>
    <t>Comentário / Evidência</t>
  </si>
  <si>
    <t>Fundamentos 
Estratégicos</t>
  </si>
  <si>
    <t>Proposta Única de Valor definida?</t>
  </si>
  <si>
    <t>Validada em reuniões, mas não está documentada</t>
  </si>
  <si>
    <t>Branding construído (logo, identidade, tom)?</t>
  </si>
  <si>
    <t>Precisa melhorar e padronizar</t>
  </si>
  <si>
    <t>ICP (Perfil de Cliente Ideal) mapeado?</t>
  </si>
  <si>
    <t>Suposições, sem validação</t>
  </si>
  <si>
    <t>Persona definida?</t>
  </si>
  <si>
    <t>Jornada do Cliente desenhada?</t>
  </si>
  <si>
    <t>Não mapeada formalmente</t>
  </si>
  <si>
    <t>Benchmarking</t>
  </si>
  <si>
    <t>Feito de forma informal</t>
  </si>
  <si>
    <t>Análise SWOT feita?</t>
  </si>
  <si>
    <t>Preenchida com frases genéricas, sem conexão com plano de ação</t>
  </si>
  <si>
    <t>TAM / SAM / SOM estimado?</t>
  </si>
  <si>
    <t>Não existe ainda</t>
  </si>
  <si>
    <t>CSD Canvas feito?</t>
  </si>
  <si>
    <t xml:space="preserve">Canvas não foi preenchido </t>
  </si>
  <si>
    <t>Meta SMART definida?</t>
  </si>
  <si>
    <t>Meta definida (R$50k MRR até Q4), mas não temos plano detalhado de como chegar</t>
  </si>
  <si>
    <t>Funil de vendas estruturado?</t>
  </si>
  <si>
    <t>Temos ideia das etapas, mas não temos nada documentado, nem processo rodando</t>
  </si>
  <si>
    <t>Calendário de conteúdo ativo?</t>
  </si>
  <si>
    <t>Não existe calendário nem produção recorrente</t>
  </si>
  <si>
    <t>Planejamento de marketing dos próximos 30 dias?</t>
  </si>
  <si>
    <t>Sem plano claro, só ideias soltas</t>
  </si>
  <si>
    <t>Mídia paga rodando?</t>
  </si>
  <si>
    <t>Nunca rodamos campanha paga</t>
  </si>
  <si>
    <t>Análise de métricas?</t>
  </si>
  <si>
    <t>Não temos dados confiáveis, nem dashboard simples</t>
  </si>
  <si>
    <t>Infraestrutura Digital</t>
  </si>
  <si>
    <t>Website funcional?</t>
  </si>
  <si>
    <t>Site institucional básico, sem captura de lead</t>
  </si>
  <si>
    <t>Tagueamento (GA-4, Pixel)?</t>
  </si>
  <si>
    <t>Sem rastreamento</t>
  </si>
  <si>
    <t>CRM implementado?</t>
  </si>
  <si>
    <t>Planilha compartilhada</t>
  </si>
  <si>
    <t>Ferramentas de automação?</t>
  </si>
  <si>
    <t>Nenhuma ainda</t>
  </si>
  <si>
    <t>Aquisição de Clientes</t>
  </si>
  <si>
    <t>Estratégia de canais definida</t>
  </si>
  <si>
    <t>Só usamos indicação</t>
  </si>
  <si>
    <t>LPs com conversão</t>
  </si>
  <si>
    <t>Não temos</t>
  </si>
  <si>
    <t>Campanhas pagas rodando?</t>
  </si>
  <si>
    <t>Nunca testamos</t>
  </si>
  <si>
    <t>Conteúdo planejado?</t>
  </si>
  <si>
    <t>Não produz nada atualmente</t>
  </si>
  <si>
    <t>Dados e Métricas</t>
  </si>
  <si>
    <t>CAC, CPL rastreados</t>
  </si>
  <si>
    <t>Nenhum dado coletado</t>
  </si>
  <si>
    <t>LTV calculado</t>
  </si>
  <si>
    <t>Estimado, sem precisão</t>
  </si>
  <si>
    <t>Dashboards / relatórios</t>
  </si>
  <si>
    <t>Inexistente</t>
  </si>
  <si>
    <t>Cultura de uso de dados</t>
  </si>
  <si>
    <t>Baseado em feeling e anotações</t>
  </si>
  <si>
    <t>Retenção e Experiência</t>
  </si>
  <si>
    <t>Onboarding estruturado</t>
  </si>
  <si>
    <t>Manual, via suporte</t>
  </si>
  <si>
    <t>Retenção monitorada</t>
  </si>
  <si>
    <t>Mede churn, mas sem profundidade</t>
  </si>
  <si>
    <t>CS ou suporte ativo</t>
  </si>
  <si>
    <t>Via WhatsApp com tempo de resposta bom</t>
  </si>
  <si>
    <t>Engajamento / feedback</t>
  </si>
  <si>
    <t>Coleta NPS mensalmente</t>
  </si>
  <si>
    <t>Como Preencher</t>
  </si>
  <si>
    <t>⬅️ Clique no sinal de + para visualizar o conteúdo</t>
  </si>
  <si>
    <t>Avaliação de Maturidade</t>
  </si>
  <si>
    <t>Esta parte do diagnóstico avalia o nível atual de maturidade da sua startup em diferentes pilares que impactam o crescimento (estratégia, infraestrutura, aquisição, dados, retenção).</t>
  </si>
  <si>
    <t>Nota de 1 a 4</t>
  </si>
  <si>
    <t>Use a escala abaixo para indicar em que nível sua startup se encontra hoje:</t>
  </si>
  <si>
    <t>Nota</t>
  </si>
  <si>
    <t>Significado</t>
  </si>
  <si>
    <t>Inexistente - ainda não existe ou nunca foi feito</t>
  </si>
  <si>
    <t>Iniciante - existe de forma parcial, rascunhada ou informal</t>
  </si>
  <si>
    <t>Funcional - já está implementado e em uso, mesmo que simples</t>
  </si>
  <si>
    <t>Escalável - validado, funcionando bem e pronto para crescer</t>
  </si>
  <si>
    <t>Seja honesto. Isso não é julgamento - é uma ferramenta para priorização.</t>
  </si>
  <si>
    <t>Cálculo do Score Geral de Maturidade</t>
  </si>
  <si>
    <t>Pilar</t>
  </si>
  <si>
    <t>Score (%)</t>
  </si>
  <si>
    <t>Fundamentos Estratégicos</t>
  </si>
  <si>
    <t>Média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</si>
</sst>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  <font>
      <sz val="16"/>
      <color rgb="FFFFFFFF"/>
      <name val="Calibri"/>
      <scheme val="minor"/>
    </font>
    <font>
      <sz val="10"/>
      <color theme="1"/>
      <name val="Arial"/>
    </font>
    <font>
      <sz val="10"/>
      <name val="Arial"/>
    </font>
    <font>
      <sz val="12"/>
      <color rgb="FFFFFFFF"/>
      <name val="Arial"/>
    </font>
    <font>
      <sz val="10"/>
      <color rgb="FF000000"/>
      <name val="Arial"/>
    </font>
    <font>
      <sz val="18"/>
      <color rgb="FFFFFFFF"/>
      <name val="Calibri"/>
      <scheme val="minor"/>
    </font>
    <font>
      <sz val="14"/>
      <color rgb="FFFFFFFF"/>
      <name val="Calibri"/>
      <scheme val="minor"/>
    </font>
    <font>
      <sz val="10"/>
      <color rgb="FFFFFFFF"/>
      <name val="Calibri"/>
      <scheme val="minor"/>
    </font>
    <font>
      <sz val="10"/>
      <color rgb="FFFFFFFF"/>
      <name val="Arial"/>
    </font>
    <font>
      <b/>
      <sz val="10"/>
      <color rgb="FF000000"/>
      <name val="Arial"/>
    </font>
    <font>
      <sz val="11"/>
      <color rgb="FF000000"/>
      <name val="Arial"/>
    </font>
    <font>
      <b/>
      <sz val="18"/>
      <color rgb="FF000000"/>
      <name val="Calibri"/>
      <scheme val="minor"/>
    </font>
    <font>
      <b/>
      <sz val="10"/>
      <color rgb="FFFFFFFF"/>
      <name val="Calibri"/>
      <scheme val="minor"/>
    </font>
    <font>
      <b/>
      <sz val="10"/>
      <color rgb="FF000000"/>
      <name val="Calibri"/>
      <scheme val="minor"/>
    </font>
    <font>
      <b/>
      <sz val="10"/>
      <color theme="1"/>
      <name val="Arial"/>
    </font>
    <font>
      <b/>
      <sz val="10"/>
      <color rgb="FF666666"/>
      <name val="Arial"/>
    </font>
    <font>
      <sz val="10"/>
      <color rgb="FF666666"/>
      <name val="Calibri"/>
      <scheme val="minor"/>
    </font>
    <font>
      <sz val="10"/>
      <color rgb="FF666666"/>
      <name val="Arial"/>
    </font>
    <font>
      <b/>
      <sz val="10"/>
      <color rgb="FF666666"/>
      <name val="Calibri"/>
      <scheme val="minor"/>
    </font>
    <font>
      <b/>
      <sz val="10"/>
      <color theme="1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6B3C4"/>
        <bgColor rgb="FF06B3C4"/>
      </patternFill>
    </fill>
    <fill>
      <patternFill patternType="solid">
        <fgColor rgb="FF93D5E0"/>
        <bgColor rgb="FF93D5E0"/>
      </patternFill>
    </fill>
    <fill>
      <patternFill patternType="solid">
        <fgColor rgb="FFECFAFB"/>
        <bgColor rgb="FFECFAFB"/>
      </patternFill>
    </fill>
    <fill>
      <patternFill patternType="solid">
        <fgColor rgb="FFF3F3F3"/>
        <bgColor rgb="FFF3F3F3"/>
      </patternFill>
    </fill>
  </fills>
  <borders count="34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06B3C4"/>
      </right>
      <top style="thin">
        <color rgb="FFFFFFFF"/>
      </top>
      <bottom/>
      <diagonal/>
    </border>
    <border>
      <left style="thin">
        <color rgb="FFFFFFFF"/>
      </left>
      <right/>
      <top/>
      <bottom/>
      <diagonal/>
    </border>
    <border>
      <left/>
      <right style="thin">
        <color rgb="FF06B3C4"/>
      </right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06B3C4"/>
      </right>
      <top/>
      <bottom style="thin">
        <color rgb="FFFFFFFF"/>
      </bottom>
      <diagonal/>
    </border>
    <border>
      <left style="thin">
        <color rgb="FF93D5E0"/>
      </left>
      <right/>
      <top/>
      <bottom/>
      <diagonal/>
    </border>
    <border>
      <left/>
      <right style="thin">
        <color rgb="FF93D5E0"/>
      </right>
      <top/>
      <bottom/>
      <diagonal/>
    </border>
    <border>
      <left style="thin">
        <color rgb="FF93D5E0"/>
      </left>
      <right style="thin">
        <color rgb="FF93D5E0"/>
      </right>
      <top/>
      <bottom/>
      <diagonal/>
    </border>
    <border>
      <left style="thin">
        <color rgb="FF93D5E0"/>
      </left>
      <right/>
      <top style="thin">
        <color rgb="FF93D5E0"/>
      </top>
      <bottom/>
      <diagonal/>
    </border>
    <border>
      <left/>
      <right style="thin">
        <color rgb="FF93D5E0"/>
      </right>
      <top style="thin">
        <color rgb="FF93D5E0"/>
      </top>
      <bottom/>
      <diagonal/>
    </border>
    <border>
      <left style="thin">
        <color rgb="FF93D5E0"/>
      </left>
      <right/>
      <top/>
      <bottom style="thin">
        <color rgb="FF93D5E0"/>
      </bottom>
      <diagonal/>
    </border>
    <border>
      <left/>
      <right style="thin">
        <color rgb="FF93D5E0"/>
      </right>
      <top/>
      <bottom style="thin">
        <color rgb="FF93D5E0"/>
      </bottom>
      <diagonal/>
    </border>
    <border>
      <left style="thin">
        <color rgb="FF93D5E0"/>
      </left>
      <right style="thin">
        <color rgb="FF93D5E0"/>
      </right>
      <top/>
      <bottom style="thin">
        <color rgb="FF93D5E0"/>
      </bottom>
      <diagonal/>
    </border>
    <border>
      <left style="thin">
        <color rgb="FF06B3C4"/>
      </left>
      <right/>
      <top style="thin">
        <color rgb="FF06B3C4"/>
      </top>
      <bottom style="thin">
        <color rgb="FFFFFFFF"/>
      </bottom>
      <diagonal/>
    </border>
    <border>
      <left/>
      <right/>
      <top style="thin">
        <color rgb="FF06B3C4"/>
      </top>
      <bottom style="thin">
        <color rgb="FFFFFFFF"/>
      </bottom>
      <diagonal/>
    </border>
    <border>
      <left/>
      <right style="thin">
        <color rgb="FF06B3C4"/>
      </right>
      <top style="thin">
        <color rgb="FF06B3C4"/>
      </top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93D5E0"/>
      </left>
      <right/>
      <top style="thin">
        <color rgb="FF93D5E0"/>
      </top>
      <bottom style="thin">
        <color rgb="FF93D5E0"/>
      </bottom>
      <diagonal/>
    </border>
    <border>
      <left/>
      <right/>
      <top style="thin">
        <color rgb="FF93D5E0"/>
      </top>
      <bottom style="thin">
        <color rgb="FF93D5E0"/>
      </bottom>
      <diagonal/>
    </border>
    <border>
      <left/>
      <right style="thin">
        <color rgb="FF93D5E0"/>
      </right>
      <top style="thin">
        <color rgb="FF93D5E0"/>
      </top>
      <bottom style="thin">
        <color rgb="FF93D5E0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93D5E0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93D5E0"/>
      </bottom>
      <diagonal/>
    </border>
    <border>
      <left/>
      <right style="thin">
        <color rgb="FFFFFFFF"/>
      </right>
      <top style="thin">
        <color rgb="FFFFFFFF"/>
      </top>
      <bottom style="thin">
        <color rgb="FF93D5E0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/>
      <top/>
      <bottom style="thin">
        <color rgb="FF93D5E0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93D5E0"/>
      </left>
      <right style="thin">
        <color rgb="FF93D5E0"/>
      </right>
      <top style="thin">
        <color rgb="FF93D5E0"/>
      </top>
      <bottom style="thin">
        <color rgb="FF93D5E0"/>
      </bottom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2" borderId="0" xfId="0" applyFont="1" applyFill="1"/>
    <xf numFmtId="0" fontId="2" fillId="3" borderId="1" xfId="0" applyFont="1" applyFill="1" applyBorder="1" applyAlignment="1">
      <alignment horizontal="center" vertical="center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5" fillId="4" borderId="9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vertical="center"/>
    </xf>
    <xf numFmtId="0" fontId="4" fillId="0" borderId="10" xfId="0" applyFont="1" applyBorder="1"/>
    <xf numFmtId="0" fontId="3" fillId="2" borderId="0" xfId="0" applyFont="1" applyFill="1" applyAlignment="1">
      <alignment vertical="center"/>
    </xf>
    <xf numFmtId="0" fontId="3" fillId="2" borderId="11" xfId="0" applyFont="1" applyFill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4" fillId="0" borderId="13" xfId="0" applyFont="1" applyBorder="1"/>
    <xf numFmtId="0" fontId="4" fillId="0" borderId="14" xfId="0" applyFont="1" applyBorder="1"/>
    <xf numFmtId="0" fontId="4" fillId="0" borderId="15" xfId="0" applyFont="1" applyBorder="1"/>
    <xf numFmtId="0" fontId="4" fillId="0" borderId="16" xfId="0" applyFont="1" applyBorder="1"/>
    <xf numFmtId="0" fontId="6" fillId="2" borderId="0" xfId="0" applyFont="1" applyFill="1"/>
    <xf numFmtId="0" fontId="1" fillId="2" borderId="0" xfId="0" applyFont="1" applyFill="1" applyAlignment="1">
      <alignment horizontal="center"/>
    </xf>
    <xf numFmtId="0" fontId="7" fillId="3" borderId="17" xfId="0" applyFont="1" applyFill="1" applyBorder="1" applyAlignment="1">
      <alignment horizontal="center" vertical="center" wrapText="1"/>
    </xf>
    <xf numFmtId="0" fontId="4" fillId="0" borderId="18" xfId="0" applyFont="1" applyBorder="1"/>
    <xf numFmtId="0" fontId="4" fillId="0" borderId="19" xfId="0" applyFont="1" applyBorder="1"/>
    <xf numFmtId="0" fontId="8" fillId="2" borderId="0" xfId="0" applyFont="1" applyFill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left" vertical="center" wrapText="1"/>
    </xf>
    <xf numFmtId="14" fontId="6" fillId="2" borderId="0" xfId="0" applyNumberFormat="1" applyFont="1" applyFill="1" applyAlignment="1">
      <alignment horizontal="left" vertical="center" wrapText="1"/>
    </xf>
    <xf numFmtId="0" fontId="9" fillId="3" borderId="6" xfId="0" applyFont="1" applyFill="1" applyBorder="1" applyAlignment="1">
      <alignment horizontal="center" vertical="center" wrapText="1"/>
    </xf>
    <xf numFmtId="0" fontId="4" fillId="0" borderId="20" xfId="0" applyFont="1" applyBorder="1"/>
    <xf numFmtId="0" fontId="3" fillId="5" borderId="21" xfId="0" applyFont="1" applyFill="1" applyBorder="1" applyAlignment="1">
      <alignment vertical="center" wrapText="1"/>
    </xf>
    <xf numFmtId="0" fontId="4" fillId="0" borderId="22" xfId="0" applyFont="1" applyBorder="1"/>
    <xf numFmtId="0" fontId="4" fillId="0" borderId="23" xfId="0" applyFont="1" applyBorder="1"/>
    <xf numFmtId="0" fontId="10" fillId="3" borderId="24" xfId="0" applyFont="1" applyFill="1" applyBorder="1" applyAlignment="1">
      <alignment horizontal="center" vertical="center" wrapText="1"/>
    </xf>
    <xf numFmtId="0" fontId="4" fillId="0" borderId="25" xfId="0" applyFont="1" applyBorder="1"/>
    <xf numFmtId="14" fontId="3" fillId="5" borderId="21" xfId="0" applyNumberFormat="1" applyFont="1" applyFill="1" applyBorder="1" applyAlignment="1">
      <alignment horizontal="left" vertical="center" wrapText="1"/>
    </xf>
    <xf numFmtId="0" fontId="9" fillId="3" borderId="24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vertical="center" wrapText="1"/>
    </xf>
    <xf numFmtId="0" fontId="4" fillId="0" borderId="26" xfId="0" applyFont="1" applyBorder="1"/>
    <xf numFmtId="0" fontId="10" fillId="3" borderId="27" xfId="0" applyFont="1" applyFill="1" applyBorder="1" applyAlignment="1">
      <alignment horizontal="center" vertical="center" wrapText="1"/>
    </xf>
    <xf numFmtId="0" fontId="4" fillId="0" borderId="28" xfId="0" applyFont="1" applyBorder="1"/>
    <xf numFmtId="0" fontId="3" fillId="5" borderId="22" xfId="0" applyFont="1" applyFill="1" applyBorder="1" applyAlignment="1">
      <alignment vertical="center"/>
    </xf>
    <xf numFmtId="0" fontId="9" fillId="3" borderId="1" xfId="0" applyFont="1" applyFill="1" applyBorder="1" applyAlignment="1">
      <alignment horizontal="center" vertical="center" wrapText="1"/>
    </xf>
    <xf numFmtId="0" fontId="4" fillId="0" borderId="29" xfId="0" applyFont="1" applyBorder="1"/>
    <xf numFmtId="0" fontId="10" fillId="3" borderId="6" xfId="0" applyFont="1" applyFill="1" applyBorder="1" applyAlignment="1">
      <alignment horizontal="center" vertical="center" wrapText="1"/>
    </xf>
    <xf numFmtId="0" fontId="3" fillId="5" borderId="30" xfId="0" applyFont="1" applyFill="1" applyBorder="1" applyAlignment="1">
      <alignment vertical="center"/>
    </xf>
    <xf numFmtId="0" fontId="4" fillId="0" borderId="30" xfId="0" applyFont="1" applyBorder="1"/>
    <xf numFmtId="0" fontId="10" fillId="3" borderId="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7" fillId="3" borderId="24" xfId="0" applyFont="1" applyFill="1" applyBorder="1" applyAlignment="1">
      <alignment horizontal="center" vertical="center" wrapText="1"/>
    </xf>
    <xf numFmtId="0" fontId="4" fillId="0" borderId="31" xfId="0" applyFont="1" applyBorder="1"/>
    <xf numFmtId="0" fontId="6" fillId="2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6" fillId="4" borderId="6" xfId="0" applyFont="1" applyFill="1" applyBorder="1" applyAlignment="1">
      <alignment horizontal="left" vertical="center" wrapText="1"/>
    </xf>
    <xf numFmtId="0" fontId="3" fillId="5" borderId="22" xfId="0" applyFont="1" applyFill="1" applyBorder="1" applyAlignment="1">
      <alignment vertical="center" wrapText="1"/>
    </xf>
    <xf numFmtId="0" fontId="6" fillId="4" borderId="24" xfId="0" applyFont="1" applyFill="1" applyBorder="1" applyAlignment="1">
      <alignment horizontal="left" vertical="center" wrapText="1"/>
    </xf>
    <xf numFmtId="0" fontId="3" fillId="5" borderId="22" xfId="0" applyFont="1" applyFill="1" applyBorder="1" applyAlignment="1">
      <alignment horizontal="center" vertical="center" wrapText="1"/>
    </xf>
    <xf numFmtId="0" fontId="3" fillId="5" borderId="22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3" fillId="5" borderId="30" xfId="0" applyFont="1" applyFill="1" applyBorder="1" applyAlignment="1">
      <alignment vertical="center" wrapText="1"/>
    </xf>
    <xf numFmtId="0" fontId="3" fillId="2" borderId="0" xfId="0" applyFont="1" applyFill="1" applyAlignment="1">
      <alignment vertical="center"/>
    </xf>
    <xf numFmtId="0" fontId="6" fillId="2" borderId="7" xfId="0" applyFont="1" applyFill="1" applyBorder="1" applyAlignment="1">
      <alignment horizontal="center" vertical="center" wrapText="1"/>
    </xf>
    <xf numFmtId="0" fontId="10" fillId="2" borderId="31" xfId="0" applyFont="1" applyFill="1" applyBorder="1" applyAlignment="1">
      <alignment horizontal="left" vertical="center" wrapText="1"/>
    </xf>
    <xf numFmtId="0" fontId="11" fillId="2" borderId="0" xfId="0" applyFont="1" applyFill="1" applyAlignment="1">
      <alignment horizontal="left" vertical="center" wrapText="1"/>
    </xf>
    <xf numFmtId="0" fontId="3" fillId="5" borderId="22" xfId="0" applyFont="1" applyFill="1" applyBorder="1" applyAlignment="1">
      <alignment horizontal="left" vertical="center" wrapText="1"/>
    </xf>
    <xf numFmtId="10" fontId="3" fillId="5" borderId="22" xfId="0" applyNumberFormat="1" applyFont="1" applyFill="1" applyBorder="1" applyAlignment="1">
      <alignment horizontal="left" vertical="center" wrapText="1"/>
    </xf>
    <xf numFmtId="3" fontId="3" fillId="5" borderId="22" xfId="0" applyNumberFormat="1" applyFont="1" applyFill="1" applyBorder="1" applyAlignment="1">
      <alignment horizontal="left" vertical="center" wrapText="1"/>
    </xf>
    <xf numFmtId="0" fontId="10" fillId="2" borderId="0" xfId="0" applyFont="1" applyFill="1" applyAlignment="1">
      <alignment horizontal="left" vertical="center" wrapText="1"/>
    </xf>
    <xf numFmtId="0" fontId="3" fillId="5" borderId="22" xfId="0" applyFont="1" applyFill="1" applyBorder="1" applyAlignment="1">
      <alignment horizontal="left" vertical="center"/>
    </xf>
    <xf numFmtId="0" fontId="12" fillId="2" borderId="0" xfId="0" applyFont="1" applyFill="1" applyAlignment="1">
      <alignment horizontal="center" vertical="center" wrapText="1"/>
    </xf>
    <xf numFmtId="0" fontId="6" fillId="5" borderId="32" xfId="0" applyFont="1" applyFill="1" applyBorder="1" applyAlignment="1">
      <alignment horizontal="center" vertical="center" wrapText="1"/>
    </xf>
    <xf numFmtId="0" fontId="1" fillId="5" borderId="32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left" vertical="center" wrapText="1"/>
    </xf>
    <xf numFmtId="0" fontId="3" fillId="5" borderId="22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14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left" vertical="center" wrapText="1"/>
    </xf>
    <xf numFmtId="0" fontId="15" fillId="2" borderId="0" xfId="0" applyFont="1" applyFill="1" applyAlignment="1">
      <alignment horizontal="center" vertical="center" wrapText="1"/>
    </xf>
    <xf numFmtId="0" fontId="15" fillId="2" borderId="0" xfId="0" applyFont="1" applyFill="1" applyAlignment="1">
      <alignment horizontal="left" vertical="top" wrapText="1"/>
    </xf>
    <xf numFmtId="0" fontId="16" fillId="2" borderId="0" xfId="0" applyFont="1" applyFill="1" applyAlignment="1">
      <alignment vertical="top" wrapText="1"/>
    </xf>
    <xf numFmtId="0" fontId="17" fillId="2" borderId="0" xfId="0" applyFont="1" applyFill="1" applyAlignment="1">
      <alignment vertical="center" wrapText="1"/>
    </xf>
    <xf numFmtId="0" fontId="18" fillId="0" borderId="0" xfId="0" applyFont="1" applyAlignment="1">
      <alignment vertical="top" wrapText="1"/>
    </xf>
    <xf numFmtId="0" fontId="17" fillId="0" borderId="0" xfId="0" applyFont="1"/>
    <xf numFmtId="0" fontId="19" fillId="0" borderId="0" xfId="0" applyFont="1"/>
    <xf numFmtId="0" fontId="19" fillId="2" borderId="0" xfId="0" applyFont="1" applyFill="1" applyAlignment="1">
      <alignment vertical="top" wrapText="1"/>
    </xf>
    <xf numFmtId="0" fontId="17" fillId="0" borderId="33" xfId="0" applyFont="1" applyBorder="1" applyAlignment="1">
      <alignment horizontal="center"/>
    </xf>
    <xf numFmtId="0" fontId="17" fillId="0" borderId="33" xfId="0" applyFont="1" applyBorder="1" applyAlignment="1">
      <alignment horizontal="left"/>
    </xf>
    <xf numFmtId="0" fontId="4" fillId="0" borderId="33" xfId="0" applyFont="1" applyBorder="1"/>
    <xf numFmtId="0" fontId="19" fillId="0" borderId="0" xfId="0" applyFont="1" applyAlignment="1">
      <alignment horizontal="center"/>
    </xf>
    <xf numFmtId="0" fontId="19" fillId="0" borderId="0" xfId="0" applyFont="1"/>
    <xf numFmtId="0" fontId="20" fillId="0" borderId="0" xfId="0" applyFont="1" applyAlignment="1">
      <alignment horizontal="left"/>
    </xf>
    <xf numFmtId="0" fontId="17" fillId="0" borderId="0" xfId="0" applyFont="1" applyAlignment="1">
      <alignment horizontal="right"/>
    </xf>
    <xf numFmtId="0" fontId="21" fillId="0" borderId="0" xfId="0" applyFont="1" applyAlignment="1">
      <alignment horizontal="left"/>
    </xf>
    <xf numFmtId="0" fontId="18" fillId="0" borderId="0" xfId="0" applyFont="1"/>
    <xf numFmtId="49" fontId="19" fillId="0" borderId="0" xfId="0" applyNumberFormat="1" applyFont="1" applyAlignment="1">
      <alignment horizontal="right"/>
    </xf>
    <xf numFmtId="4" fontId="19" fillId="0" borderId="0" xfId="0" applyNumberFormat="1" applyFont="1"/>
    <xf numFmtId="9" fontId="1" fillId="0" borderId="0" xfId="0" applyNumberFormat="1" applyFont="1" applyAlignment="1">
      <alignment horizontal="left"/>
    </xf>
    <xf numFmtId="0" fontId="17" fillId="6" borderId="0" xfId="0" applyFont="1" applyFill="1" applyAlignment="1">
      <alignment horizontal="right" vertical="center" wrapText="1"/>
    </xf>
    <xf numFmtId="49" fontId="17" fillId="6" borderId="0" xfId="0" applyNumberFormat="1" applyFont="1" applyFill="1" applyAlignment="1">
      <alignment horizontal="right" vertical="center" wrapText="1"/>
    </xf>
    <xf numFmtId="4" fontId="17" fillId="6" borderId="0" xfId="0" applyNumberFormat="1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419100" cy="200025"/>
    <xdr:pic>
      <xdr:nvPicPr>
        <xdr:cNvPr id="2" name="image1.png">
          <a:extLst>
            <a:ext uri="{FF2B5EF4-FFF2-40B4-BE49-F238E27FC236}">
              <a16:creationId xmlns:a16="http://schemas.microsoft.com/office/drawing/2014/main" id="{251B034C-77D8-4F98-814D-D3A2B2BEB3D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514350"/>
          <a:ext cx="419100" cy="2000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88E3C-4B47-4BF7-8475-3350AB2C3B87}">
  <dimension ref="A1:O145"/>
  <sheetViews>
    <sheetView tabSelected="1" workbookViewId="0">
      <selection sqref="A1:XFD1048576"/>
    </sheetView>
  </sheetViews>
  <sheetFormatPr defaultColWidth="12.5703125" defaultRowHeight="15.75" customHeight="1" outlineLevelRow="1" x14ac:dyDescent="0.25"/>
  <cols>
    <col min="9" max="9" width="12.85546875" customWidth="1"/>
  </cols>
  <sheetData>
    <row r="1" spans="1:15" ht="21" x14ac:dyDescent="0.25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21" x14ac:dyDescent="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ht="21" x14ac:dyDescent="0.25">
      <c r="A3" s="3"/>
      <c r="B3" s="4"/>
      <c r="C3" s="4"/>
      <c r="D3" s="5"/>
      <c r="E3" s="6" t="s">
        <v>0</v>
      </c>
      <c r="F3" s="7"/>
      <c r="G3" s="7"/>
      <c r="H3" s="7"/>
      <c r="I3" s="7"/>
      <c r="J3" s="7"/>
      <c r="K3" s="7"/>
      <c r="L3" s="7"/>
      <c r="M3" s="7"/>
      <c r="N3" s="8"/>
      <c r="O3" s="2"/>
    </row>
    <row r="4" spans="1:15" ht="21" x14ac:dyDescent="0.25">
      <c r="A4" s="4"/>
      <c r="B4" s="4"/>
      <c r="C4" s="4"/>
      <c r="D4" s="5"/>
      <c r="E4" s="9"/>
      <c r="F4" s="4"/>
      <c r="G4" s="4"/>
      <c r="H4" s="4"/>
      <c r="I4" s="4"/>
      <c r="J4" s="4"/>
      <c r="K4" s="4"/>
      <c r="L4" s="4"/>
      <c r="M4" s="4"/>
      <c r="N4" s="10"/>
      <c r="O4" s="2"/>
    </row>
    <row r="5" spans="1:15" ht="21" x14ac:dyDescent="0.25">
      <c r="A5" s="4"/>
      <c r="B5" s="4"/>
      <c r="C5" s="4"/>
      <c r="D5" s="5"/>
      <c r="E5" s="9"/>
      <c r="F5" s="4"/>
      <c r="G5" s="4"/>
      <c r="H5" s="4"/>
      <c r="I5" s="4"/>
      <c r="J5" s="4"/>
      <c r="K5" s="4"/>
      <c r="L5" s="4"/>
      <c r="M5" s="4"/>
      <c r="N5" s="10"/>
      <c r="O5" s="2"/>
    </row>
    <row r="6" spans="1:15" ht="21" x14ac:dyDescent="0.25">
      <c r="A6" s="4"/>
      <c r="B6" s="4"/>
      <c r="C6" s="4"/>
      <c r="D6" s="5"/>
      <c r="E6" s="11"/>
      <c r="F6" s="12"/>
      <c r="G6" s="12"/>
      <c r="H6" s="12"/>
      <c r="I6" s="12"/>
      <c r="J6" s="12"/>
      <c r="K6" s="12"/>
      <c r="L6" s="12"/>
      <c r="M6" s="12"/>
      <c r="N6" s="13"/>
      <c r="O6" s="2"/>
    </row>
    <row r="7" spans="1:15" ht="15" x14ac:dyDescent="0.25">
      <c r="A7" s="4"/>
      <c r="B7" s="4"/>
      <c r="C7" s="4"/>
      <c r="D7" s="5"/>
      <c r="E7" s="14" t="s">
        <v>1</v>
      </c>
      <c r="F7" s="15" t="s">
        <v>2</v>
      </c>
      <c r="G7" s="16"/>
      <c r="H7" s="17"/>
      <c r="I7" s="14" t="s">
        <v>3</v>
      </c>
      <c r="J7" s="18" t="s">
        <v>4</v>
      </c>
      <c r="K7" s="17"/>
      <c r="L7" s="14" t="s">
        <v>5</v>
      </c>
      <c r="M7" s="19" t="s">
        <v>6</v>
      </c>
      <c r="N7" s="20"/>
      <c r="O7" s="17"/>
    </row>
    <row r="8" spans="1:15" ht="15" x14ac:dyDescent="0.25">
      <c r="A8" s="4"/>
      <c r="B8" s="4"/>
      <c r="C8" s="4"/>
      <c r="D8" s="5"/>
      <c r="E8" s="21"/>
      <c r="F8" s="21"/>
      <c r="G8" s="22"/>
      <c r="H8" s="17"/>
      <c r="I8" s="21"/>
      <c r="J8" s="23"/>
      <c r="K8" s="17"/>
      <c r="L8" s="21"/>
      <c r="M8" s="21"/>
      <c r="N8" s="22"/>
      <c r="O8" s="17"/>
    </row>
    <row r="9" spans="1:15" ht="15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15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15" x14ac:dyDescent="0.25">
      <c r="A11" s="24"/>
      <c r="B11" s="4"/>
      <c r="C11" s="4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</row>
    <row r="12" spans="1:15" ht="38.25" customHeight="1" x14ac:dyDescent="0.25">
      <c r="A12" s="26" t="s">
        <v>7</v>
      </c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8"/>
      <c r="O12" s="29"/>
    </row>
    <row r="13" spans="1:15" ht="22.5" customHeight="1" x14ac:dyDescent="0.25">
      <c r="A13" s="30"/>
      <c r="B13" s="30"/>
      <c r="C13" s="31"/>
      <c r="D13" s="31"/>
      <c r="E13" s="31"/>
      <c r="F13" s="31"/>
      <c r="G13" s="31"/>
      <c r="H13" s="30"/>
      <c r="I13" s="30"/>
      <c r="J13" s="32"/>
      <c r="K13" s="32"/>
      <c r="L13" s="32"/>
      <c r="M13" s="32"/>
      <c r="N13" s="32"/>
      <c r="O13" s="5"/>
    </row>
    <row r="14" spans="1:15" ht="22.5" customHeight="1" x14ac:dyDescent="0.25">
      <c r="A14" s="33" t="s">
        <v>8</v>
      </c>
      <c r="B14" s="34"/>
      <c r="C14" s="35" t="s">
        <v>9</v>
      </c>
      <c r="D14" s="36"/>
      <c r="E14" s="36"/>
      <c r="F14" s="36"/>
      <c r="G14" s="37"/>
      <c r="H14" s="38" t="s">
        <v>10</v>
      </c>
      <c r="I14" s="39"/>
      <c r="J14" s="40"/>
      <c r="K14" s="36"/>
      <c r="L14" s="36"/>
      <c r="M14" s="36"/>
      <c r="N14" s="37"/>
      <c r="O14" s="5"/>
    </row>
    <row r="15" spans="1:15" ht="22.5" customHeight="1" x14ac:dyDescent="0.25">
      <c r="A15" s="41" t="s">
        <v>11</v>
      </c>
      <c r="B15" s="39"/>
      <c r="C15" s="42"/>
      <c r="D15" s="43"/>
      <c r="E15" s="43"/>
      <c r="F15" s="43"/>
      <c r="G15" s="20"/>
      <c r="H15" s="44" t="s">
        <v>12</v>
      </c>
      <c r="I15" s="45"/>
      <c r="J15" s="46"/>
      <c r="K15" s="36"/>
      <c r="L15" s="36"/>
      <c r="M15" s="36"/>
      <c r="N15" s="37"/>
      <c r="O15" s="5"/>
    </row>
    <row r="16" spans="1:15" ht="22.5" customHeight="1" x14ac:dyDescent="0.25">
      <c r="A16" s="47" t="s">
        <v>13</v>
      </c>
      <c r="B16" s="48"/>
      <c r="C16" s="42"/>
      <c r="D16" s="43"/>
      <c r="E16" s="43"/>
      <c r="F16" s="43"/>
      <c r="G16" s="20"/>
      <c r="H16" s="49" t="s">
        <v>14</v>
      </c>
      <c r="I16" s="34"/>
      <c r="J16" s="50"/>
      <c r="K16" s="51"/>
      <c r="L16" s="51"/>
      <c r="M16" s="51"/>
      <c r="N16" s="22"/>
      <c r="O16" s="5"/>
    </row>
    <row r="17" spans="1:15" ht="22.5" customHeight="1" x14ac:dyDescent="0.25">
      <c r="A17" s="41" t="s">
        <v>15</v>
      </c>
      <c r="B17" s="39"/>
      <c r="C17" s="35"/>
      <c r="D17" s="36"/>
      <c r="E17" s="36"/>
      <c r="F17" s="36"/>
      <c r="G17" s="37"/>
      <c r="H17" s="52" t="s">
        <v>16</v>
      </c>
      <c r="I17" s="48"/>
      <c r="J17" s="46"/>
      <c r="K17" s="36"/>
      <c r="L17" s="36"/>
      <c r="M17" s="36"/>
      <c r="N17" s="37"/>
      <c r="O17" s="5"/>
    </row>
    <row r="18" spans="1:15" ht="22.5" customHeight="1" x14ac:dyDescent="0.25">
      <c r="A18" s="53"/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</row>
    <row r="19" spans="1:15" ht="38.25" customHeight="1" x14ac:dyDescent="0.25">
      <c r="A19" s="54" t="s">
        <v>17</v>
      </c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39"/>
      <c r="O19" s="29"/>
    </row>
    <row r="20" spans="1:15" ht="22.5" customHeight="1" x14ac:dyDescent="0.25">
      <c r="A20" s="56"/>
      <c r="B20" s="4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</row>
    <row r="21" spans="1:15" ht="22.5" customHeight="1" x14ac:dyDescent="0.25">
      <c r="A21" s="57" t="s">
        <v>18</v>
      </c>
      <c r="B21" s="4"/>
      <c r="C21" s="58" t="s">
        <v>19</v>
      </c>
      <c r="D21" s="12"/>
      <c r="E21" s="12"/>
      <c r="F21" s="12"/>
      <c r="G21" s="12"/>
      <c r="H21" s="59" t="s">
        <v>20</v>
      </c>
      <c r="I21" s="36"/>
      <c r="J21" s="36"/>
      <c r="K21" s="36"/>
      <c r="L21" s="36"/>
      <c r="M21" s="36"/>
      <c r="N21" s="37"/>
      <c r="O21" s="53"/>
    </row>
    <row r="22" spans="1:15" ht="22.5" customHeight="1" x14ac:dyDescent="0.25">
      <c r="A22" s="4"/>
      <c r="B22" s="4"/>
      <c r="C22" s="60" t="s">
        <v>21</v>
      </c>
      <c r="D22" s="55"/>
      <c r="E22" s="55"/>
      <c r="F22" s="55"/>
      <c r="G22" s="55"/>
      <c r="H22" s="59" t="s">
        <v>22</v>
      </c>
      <c r="I22" s="36"/>
      <c r="J22" s="36"/>
      <c r="K22" s="36"/>
      <c r="L22" s="36"/>
      <c r="M22" s="36"/>
      <c r="N22" s="37"/>
      <c r="O22" s="53"/>
    </row>
    <row r="23" spans="1:15" ht="22.5" customHeight="1" x14ac:dyDescent="0.25">
      <c r="A23" s="4"/>
      <c r="B23" s="4"/>
      <c r="C23" s="60" t="s">
        <v>23</v>
      </c>
      <c r="D23" s="55"/>
      <c r="E23" s="55"/>
      <c r="F23" s="55"/>
      <c r="G23" s="55"/>
      <c r="H23" s="59" t="s">
        <v>24</v>
      </c>
      <c r="I23" s="36"/>
      <c r="J23" s="36"/>
      <c r="K23" s="36"/>
      <c r="L23" s="36"/>
      <c r="M23" s="36"/>
      <c r="N23" s="37"/>
      <c r="O23" s="53"/>
    </row>
    <row r="24" spans="1:15" ht="22.5" customHeight="1" x14ac:dyDescent="0.25">
      <c r="A24" s="4"/>
      <c r="B24" s="4"/>
      <c r="C24" s="60" t="s">
        <v>25</v>
      </c>
      <c r="D24" s="55"/>
      <c r="E24" s="55"/>
      <c r="F24" s="55"/>
      <c r="G24" s="55"/>
      <c r="H24" s="61" t="s">
        <v>26</v>
      </c>
      <c r="I24" s="36"/>
      <c r="J24" s="36"/>
      <c r="K24" s="62" t="s">
        <v>27</v>
      </c>
      <c r="L24" s="46"/>
      <c r="M24" s="36"/>
      <c r="N24" s="37"/>
      <c r="O24" s="53"/>
    </row>
    <row r="25" spans="1:15" ht="22.5" customHeight="1" x14ac:dyDescent="0.25">
      <c r="A25" s="4"/>
      <c r="B25" s="4"/>
      <c r="C25" s="63" t="s">
        <v>28</v>
      </c>
      <c r="D25" s="7"/>
      <c r="E25" s="7"/>
      <c r="F25" s="7"/>
      <c r="G25" s="7"/>
      <c r="H25" s="61" t="s">
        <v>29</v>
      </c>
      <c r="I25" s="36"/>
      <c r="J25" s="36"/>
      <c r="K25" s="46"/>
      <c r="L25" s="36"/>
      <c r="M25" s="36"/>
      <c r="N25" s="37"/>
      <c r="O25" s="53"/>
    </row>
    <row r="26" spans="1:15" ht="22.5" customHeight="1" x14ac:dyDescent="0.25">
      <c r="A26" s="4"/>
      <c r="B26" s="4"/>
      <c r="C26" s="60" t="s">
        <v>30</v>
      </c>
      <c r="D26" s="55"/>
      <c r="E26" s="55"/>
      <c r="F26" s="55"/>
      <c r="G26" s="55"/>
      <c r="H26" s="64" t="s">
        <v>31</v>
      </c>
      <c r="I26" s="51"/>
      <c r="J26" s="51"/>
      <c r="K26" s="51"/>
      <c r="L26" s="51"/>
      <c r="M26" s="51"/>
      <c r="N26" s="22"/>
      <c r="O26" s="53"/>
    </row>
    <row r="27" spans="1:15" ht="22.5" customHeight="1" x14ac:dyDescent="0.25">
      <c r="A27" s="4"/>
      <c r="B27" s="4"/>
      <c r="C27" s="60" t="s">
        <v>32</v>
      </c>
      <c r="D27" s="55"/>
      <c r="E27" s="55"/>
      <c r="F27" s="55"/>
      <c r="G27" s="55"/>
      <c r="H27" s="64" t="s">
        <v>33</v>
      </c>
      <c r="I27" s="51"/>
      <c r="J27" s="51"/>
      <c r="K27" s="51"/>
      <c r="L27" s="51"/>
      <c r="M27" s="51"/>
      <c r="N27" s="22"/>
      <c r="O27" s="53"/>
    </row>
    <row r="28" spans="1:15" ht="22.5" customHeight="1" x14ac:dyDescent="0.25">
      <c r="A28" s="56"/>
      <c r="B28" s="4"/>
      <c r="C28" s="56"/>
      <c r="D28" s="4"/>
      <c r="E28" s="4"/>
      <c r="F28" s="4"/>
      <c r="G28" s="4"/>
      <c r="H28" s="65"/>
      <c r="I28" s="4"/>
      <c r="J28" s="4"/>
      <c r="K28" s="4"/>
      <c r="L28" s="4"/>
      <c r="M28" s="4"/>
      <c r="N28" s="4"/>
      <c r="O28" s="53"/>
    </row>
    <row r="29" spans="1:15" ht="22.5" customHeight="1" x14ac:dyDescent="0.25">
      <c r="A29" s="57" t="s">
        <v>34</v>
      </c>
      <c r="B29" s="4"/>
      <c r="C29" s="58" t="s">
        <v>35</v>
      </c>
      <c r="D29" s="12"/>
      <c r="E29" s="12"/>
      <c r="F29" s="12"/>
      <c r="G29" s="12"/>
      <c r="H29" s="59" t="s">
        <v>36</v>
      </c>
      <c r="I29" s="36"/>
      <c r="J29" s="36"/>
      <c r="K29" s="36"/>
      <c r="L29" s="36"/>
      <c r="M29" s="36"/>
      <c r="N29" s="37"/>
      <c r="O29" s="66"/>
    </row>
    <row r="30" spans="1:15" ht="22.5" customHeight="1" x14ac:dyDescent="0.25">
      <c r="A30" s="4"/>
      <c r="B30" s="4"/>
      <c r="C30" s="60" t="s">
        <v>37</v>
      </c>
      <c r="D30" s="55"/>
      <c r="E30" s="55"/>
      <c r="F30" s="55"/>
      <c r="G30" s="55"/>
      <c r="H30" s="59" t="s">
        <v>38</v>
      </c>
      <c r="I30" s="36"/>
      <c r="J30" s="36"/>
      <c r="K30" s="36"/>
      <c r="L30" s="36"/>
      <c r="M30" s="36"/>
      <c r="N30" s="36"/>
      <c r="O30" s="67"/>
    </row>
    <row r="31" spans="1:15" ht="22.5" customHeight="1" x14ac:dyDescent="0.25">
      <c r="A31" s="4"/>
      <c r="B31" s="4"/>
      <c r="C31" s="60" t="s">
        <v>39</v>
      </c>
      <c r="D31" s="55"/>
      <c r="E31" s="55"/>
      <c r="F31" s="55"/>
      <c r="G31" s="55"/>
      <c r="H31" s="59" t="s">
        <v>40</v>
      </c>
      <c r="I31" s="36"/>
      <c r="J31" s="36"/>
      <c r="K31" s="36"/>
      <c r="L31" s="36"/>
      <c r="M31" s="36"/>
      <c r="N31" s="36"/>
      <c r="O31" s="67"/>
    </row>
    <row r="32" spans="1:15" ht="22.5" customHeight="1" x14ac:dyDescent="0.25">
      <c r="A32" s="4"/>
      <c r="B32" s="4"/>
      <c r="C32" s="60" t="s">
        <v>41</v>
      </c>
      <c r="D32" s="55"/>
      <c r="E32" s="55"/>
      <c r="F32" s="55"/>
      <c r="G32" s="55"/>
      <c r="H32" s="59" t="s">
        <v>42</v>
      </c>
      <c r="I32" s="36"/>
      <c r="J32" s="36"/>
      <c r="K32" s="36"/>
      <c r="L32" s="36"/>
      <c r="M32" s="36"/>
      <c r="N32" s="37"/>
      <c r="O32" s="67"/>
    </row>
    <row r="33" spans="1:15" ht="22.5" customHeight="1" x14ac:dyDescent="0.25">
      <c r="A33" s="56"/>
      <c r="B33" s="4"/>
      <c r="C33" s="56"/>
      <c r="D33" s="4"/>
      <c r="E33" s="4"/>
      <c r="F33" s="4"/>
      <c r="G33" s="4"/>
      <c r="H33" s="56"/>
      <c r="I33" s="4"/>
      <c r="J33" s="4"/>
      <c r="K33" s="4"/>
      <c r="L33" s="4"/>
      <c r="M33" s="4"/>
      <c r="N33" s="4"/>
      <c r="O33" s="53"/>
    </row>
    <row r="34" spans="1:15" ht="39.75" customHeight="1" x14ac:dyDescent="0.25">
      <c r="A34" s="54" t="s">
        <v>43</v>
      </c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39"/>
      <c r="O34" s="53"/>
    </row>
    <row r="35" spans="1:15" ht="22.5" customHeight="1" x14ac:dyDescent="0.25">
      <c r="A35" s="53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</row>
    <row r="36" spans="1:15" ht="22.5" customHeight="1" x14ac:dyDescent="0.25">
      <c r="A36" s="53"/>
      <c r="B36" s="53"/>
      <c r="C36" s="68"/>
      <c r="D36" s="4"/>
      <c r="E36" s="4"/>
      <c r="F36" s="4"/>
      <c r="G36" s="4"/>
      <c r="H36" s="68" t="s">
        <v>44</v>
      </c>
      <c r="I36" s="4"/>
      <c r="J36" s="68" t="s">
        <v>45</v>
      </c>
      <c r="K36" s="4"/>
      <c r="L36" s="4"/>
      <c r="M36" s="4"/>
      <c r="N36" s="4"/>
      <c r="O36" s="53"/>
    </row>
    <row r="37" spans="1:15" ht="22.5" customHeight="1" x14ac:dyDescent="0.25">
      <c r="A37" s="57" t="s">
        <v>46</v>
      </c>
      <c r="B37" s="4"/>
      <c r="C37" s="58" t="s">
        <v>47</v>
      </c>
      <c r="D37" s="12"/>
      <c r="E37" s="12"/>
      <c r="F37" s="12"/>
      <c r="G37" s="12"/>
      <c r="H37" s="69" t="s">
        <v>48</v>
      </c>
      <c r="I37" s="36"/>
      <c r="J37" s="69" t="s">
        <v>49</v>
      </c>
      <c r="K37" s="36"/>
      <c r="L37" s="36"/>
      <c r="M37" s="36"/>
      <c r="N37" s="37"/>
      <c r="O37" s="66"/>
    </row>
    <row r="38" spans="1:15" ht="22.5" customHeight="1" x14ac:dyDescent="0.25">
      <c r="A38" s="4"/>
      <c r="B38" s="4"/>
      <c r="C38" s="58" t="s">
        <v>50</v>
      </c>
      <c r="D38" s="12"/>
      <c r="E38" s="12"/>
      <c r="F38" s="12"/>
      <c r="G38" s="12"/>
      <c r="H38" s="69">
        <v>22</v>
      </c>
      <c r="I38" s="36"/>
      <c r="J38" s="69" t="s">
        <v>51</v>
      </c>
      <c r="K38" s="36"/>
      <c r="L38" s="36"/>
      <c r="M38" s="36"/>
      <c r="N38" s="37"/>
      <c r="O38" s="66"/>
    </row>
    <row r="39" spans="1:15" ht="22.5" customHeight="1" x14ac:dyDescent="0.25">
      <c r="A39" s="4"/>
      <c r="B39" s="4"/>
      <c r="C39" s="60" t="s">
        <v>52</v>
      </c>
      <c r="D39" s="55"/>
      <c r="E39" s="55"/>
      <c r="F39" s="55"/>
      <c r="G39" s="55"/>
      <c r="H39" s="69" t="s">
        <v>53</v>
      </c>
      <c r="I39" s="36"/>
      <c r="J39" s="69" t="s">
        <v>54</v>
      </c>
      <c r="K39" s="36"/>
      <c r="L39" s="36"/>
      <c r="M39" s="36"/>
      <c r="N39" s="37"/>
      <c r="O39" s="67"/>
    </row>
    <row r="40" spans="1:15" ht="22.5" customHeight="1" x14ac:dyDescent="0.25">
      <c r="A40" s="4"/>
      <c r="B40" s="4"/>
      <c r="C40" s="60" t="s">
        <v>55</v>
      </c>
      <c r="D40" s="55"/>
      <c r="E40" s="55"/>
      <c r="F40" s="55"/>
      <c r="G40" s="55"/>
      <c r="H40" s="69" t="s">
        <v>56</v>
      </c>
      <c r="I40" s="36"/>
      <c r="J40" s="69" t="s">
        <v>57</v>
      </c>
      <c r="K40" s="36"/>
      <c r="L40" s="36"/>
      <c r="M40" s="36"/>
      <c r="N40" s="37"/>
      <c r="O40" s="67"/>
    </row>
    <row r="41" spans="1:15" ht="22.5" customHeight="1" x14ac:dyDescent="0.25">
      <c r="A41" s="4"/>
      <c r="B41" s="4"/>
      <c r="C41" s="60" t="s">
        <v>58</v>
      </c>
      <c r="D41" s="55"/>
      <c r="E41" s="55"/>
      <c r="F41" s="55"/>
      <c r="G41" s="55"/>
      <c r="H41" s="69" t="s">
        <v>59</v>
      </c>
      <c r="I41" s="36"/>
      <c r="J41" s="69" t="s">
        <v>60</v>
      </c>
      <c r="K41" s="36"/>
      <c r="L41" s="36"/>
      <c r="M41" s="36"/>
      <c r="N41" s="37"/>
      <c r="O41" s="67"/>
    </row>
    <row r="42" spans="1:15" ht="22.5" customHeight="1" x14ac:dyDescent="0.25">
      <c r="A42" s="4"/>
      <c r="B42" s="4"/>
      <c r="C42" s="60" t="s">
        <v>61</v>
      </c>
      <c r="D42" s="55"/>
      <c r="E42" s="55"/>
      <c r="F42" s="55"/>
      <c r="G42" s="55"/>
      <c r="H42" s="70">
        <v>1.2E-2</v>
      </c>
      <c r="I42" s="36"/>
      <c r="J42" s="69" t="s">
        <v>62</v>
      </c>
      <c r="K42" s="36"/>
      <c r="L42" s="36"/>
      <c r="M42" s="36"/>
      <c r="N42" s="37"/>
      <c r="O42" s="67"/>
    </row>
    <row r="43" spans="1:15" ht="22.5" customHeight="1" x14ac:dyDescent="0.25">
      <c r="A43" s="4"/>
      <c r="B43" s="4"/>
      <c r="C43" s="60" t="s">
        <v>63</v>
      </c>
      <c r="D43" s="55"/>
      <c r="E43" s="55"/>
      <c r="F43" s="55"/>
      <c r="G43" s="55"/>
      <c r="H43" s="69">
        <v>40</v>
      </c>
      <c r="I43" s="36"/>
      <c r="J43" s="69" t="s">
        <v>64</v>
      </c>
      <c r="K43" s="36"/>
      <c r="L43" s="36"/>
      <c r="M43" s="36"/>
      <c r="N43" s="37"/>
      <c r="O43" s="67"/>
    </row>
    <row r="44" spans="1:15" ht="22.5" customHeight="1" x14ac:dyDescent="0.25">
      <c r="A44" s="4"/>
      <c r="B44" s="4"/>
      <c r="C44" s="60" t="s">
        <v>65</v>
      </c>
      <c r="D44" s="55"/>
      <c r="E44" s="55"/>
      <c r="F44" s="55"/>
      <c r="G44" s="55"/>
      <c r="H44" s="69" t="s">
        <v>56</v>
      </c>
      <c r="I44" s="36"/>
      <c r="J44" s="69" t="s">
        <v>66</v>
      </c>
      <c r="K44" s="36"/>
      <c r="L44" s="36"/>
      <c r="M44" s="36"/>
      <c r="N44" s="37"/>
      <c r="O44" s="67"/>
    </row>
    <row r="45" spans="1:15" ht="22.5" customHeight="1" x14ac:dyDescent="0.25">
      <c r="A45" s="4"/>
      <c r="B45" s="4"/>
      <c r="C45" s="60" t="s">
        <v>67</v>
      </c>
      <c r="D45" s="55"/>
      <c r="E45" s="55"/>
      <c r="F45" s="55"/>
      <c r="G45" s="55"/>
      <c r="H45" s="71">
        <v>1020</v>
      </c>
      <c r="I45" s="36"/>
      <c r="J45" s="69" t="s">
        <v>68</v>
      </c>
      <c r="K45" s="36"/>
      <c r="L45" s="36"/>
      <c r="M45" s="36"/>
      <c r="N45" s="37"/>
      <c r="O45" s="67"/>
    </row>
    <row r="46" spans="1:15" ht="22.5" customHeight="1" x14ac:dyDescent="0.25">
      <c r="A46" s="4"/>
      <c r="B46" s="4"/>
      <c r="C46" s="58" t="s">
        <v>69</v>
      </c>
      <c r="D46" s="12"/>
      <c r="E46" s="12"/>
      <c r="F46" s="12"/>
      <c r="G46" s="12"/>
      <c r="H46" s="69">
        <v>0</v>
      </c>
      <c r="I46" s="36"/>
      <c r="J46" s="69" t="s">
        <v>70</v>
      </c>
      <c r="K46" s="36"/>
      <c r="L46" s="36"/>
      <c r="M46" s="36"/>
      <c r="N46" s="37"/>
      <c r="O46" s="67"/>
    </row>
    <row r="47" spans="1:15" ht="22.5" customHeight="1" x14ac:dyDescent="0.25">
      <c r="A47" s="4"/>
      <c r="B47" s="4"/>
      <c r="C47" s="60" t="s">
        <v>71</v>
      </c>
      <c r="D47" s="55"/>
      <c r="E47" s="55"/>
      <c r="F47" s="55"/>
      <c r="G47" s="55"/>
      <c r="H47" s="69">
        <v>1</v>
      </c>
      <c r="I47" s="36"/>
      <c r="J47" s="69" t="s">
        <v>72</v>
      </c>
      <c r="K47" s="36"/>
      <c r="L47" s="36"/>
      <c r="M47" s="36"/>
      <c r="N47" s="37"/>
      <c r="O47" s="67"/>
    </row>
    <row r="48" spans="1:15" ht="22.5" customHeight="1" x14ac:dyDescent="0.25">
      <c r="A48" s="4"/>
      <c r="B48" s="4"/>
      <c r="C48" s="60" t="s">
        <v>73</v>
      </c>
      <c r="D48" s="55"/>
      <c r="E48" s="55"/>
      <c r="F48" s="55"/>
      <c r="G48" s="55"/>
      <c r="H48" s="69">
        <v>0</v>
      </c>
      <c r="I48" s="36"/>
      <c r="J48" s="69" t="s">
        <v>74</v>
      </c>
      <c r="K48" s="36"/>
      <c r="L48" s="36"/>
      <c r="M48" s="36"/>
      <c r="N48" s="37"/>
      <c r="O48" s="67"/>
    </row>
    <row r="49" spans="1:15" ht="22.5" customHeight="1" x14ac:dyDescent="0.25">
      <c r="A49" s="4"/>
      <c r="B49" s="4"/>
      <c r="C49" s="58" t="s">
        <v>75</v>
      </c>
      <c r="D49" s="12"/>
      <c r="E49" s="12"/>
      <c r="F49" s="12"/>
      <c r="G49" s="12"/>
      <c r="H49" s="69">
        <v>67</v>
      </c>
      <c r="I49" s="36"/>
      <c r="J49" s="69" t="s">
        <v>76</v>
      </c>
      <c r="K49" s="36"/>
      <c r="L49" s="36"/>
      <c r="M49" s="36"/>
      <c r="N49" s="37"/>
      <c r="O49" s="67"/>
    </row>
    <row r="50" spans="1:15" ht="22.5" customHeight="1" x14ac:dyDescent="0.25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</row>
    <row r="51" spans="1:15" ht="22.5" customHeight="1" x14ac:dyDescent="0.25">
      <c r="A51" s="53"/>
      <c r="B51" s="53"/>
      <c r="C51" s="68"/>
      <c r="D51" s="4"/>
      <c r="E51" s="4"/>
      <c r="F51" s="4"/>
      <c r="G51" s="4"/>
      <c r="H51" s="68" t="s">
        <v>77</v>
      </c>
      <c r="I51" s="4"/>
      <c r="J51" s="68" t="s">
        <v>78</v>
      </c>
      <c r="K51" s="4"/>
      <c r="L51" s="4"/>
      <c r="M51" s="4"/>
      <c r="N51" s="4"/>
      <c r="O51" s="53"/>
    </row>
    <row r="52" spans="1:15" ht="22.5" customHeight="1" x14ac:dyDescent="0.25">
      <c r="A52" s="57" t="s">
        <v>79</v>
      </c>
      <c r="B52" s="4"/>
      <c r="C52" s="58" t="s">
        <v>80</v>
      </c>
      <c r="D52" s="12"/>
      <c r="E52" s="12"/>
      <c r="F52" s="12"/>
      <c r="G52" s="12"/>
      <c r="H52" s="71">
        <v>1029</v>
      </c>
      <c r="I52" s="36"/>
      <c r="J52" s="69" t="s">
        <v>81</v>
      </c>
      <c r="K52" s="36"/>
      <c r="L52" s="36"/>
      <c r="M52" s="36"/>
      <c r="N52" s="37"/>
      <c r="O52" s="72"/>
    </row>
    <row r="53" spans="1:15" ht="22.5" customHeight="1" x14ac:dyDescent="0.25">
      <c r="A53" s="4"/>
      <c r="B53" s="4"/>
      <c r="C53" s="58" t="s">
        <v>82</v>
      </c>
      <c r="D53" s="12"/>
      <c r="E53" s="12"/>
      <c r="F53" s="12"/>
      <c r="G53" s="12"/>
      <c r="H53" s="71">
        <v>5176</v>
      </c>
      <c r="I53" s="36"/>
      <c r="J53" s="69" t="s">
        <v>81</v>
      </c>
      <c r="K53" s="36"/>
      <c r="L53" s="36"/>
      <c r="M53" s="36"/>
      <c r="N53" s="37"/>
      <c r="O53" s="72"/>
    </row>
    <row r="54" spans="1:15" ht="22.5" customHeight="1" x14ac:dyDescent="0.25">
      <c r="A54" s="4"/>
      <c r="B54" s="4"/>
      <c r="C54" s="58" t="s">
        <v>83</v>
      </c>
      <c r="D54" s="12"/>
      <c r="E54" s="12"/>
      <c r="F54" s="12"/>
      <c r="G54" s="12"/>
      <c r="H54" s="69">
        <v>103</v>
      </c>
      <c r="I54" s="36"/>
      <c r="J54" s="69" t="s">
        <v>81</v>
      </c>
      <c r="K54" s="36"/>
      <c r="L54" s="36"/>
      <c r="M54" s="36"/>
      <c r="N54" s="37"/>
      <c r="O54" s="72"/>
    </row>
    <row r="55" spans="1:15" ht="22.5" customHeight="1" x14ac:dyDescent="0.25">
      <c r="A55" s="4"/>
      <c r="B55" s="4"/>
      <c r="C55" s="58" t="s">
        <v>84</v>
      </c>
      <c r="D55" s="12"/>
      <c r="E55" s="12"/>
      <c r="F55" s="12"/>
      <c r="G55" s="12"/>
      <c r="H55" s="69">
        <v>102</v>
      </c>
      <c r="I55" s="36"/>
      <c r="J55" s="69" t="s">
        <v>81</v>
      </c>
      <c r="K55" s="36"/>
      <c r="L55" s="36"/>
      <c r="M55" s="36"/>
      <c r="N55" s="37"/>
      <c r="O55" s="72"/>
    </row>
    <row r="56" spans="1:15" ht="22.5" customHeight="1" x14ac:dyDescent="0.25">
      <c r="A56" s="4"/>
      <c r="B56" s="4"/>
      <c r="C56" s="58" t="s">
        <v>85</v>
      </c>
      <c r="D56" s="12"/>
      <c r="E56" s="12"/>
      <c r="F56" s="12"/>
      <c r="G56" s="12"/>
      <c r="H56" s="71">
        <v>10456</v>
      </c>
      <c r="I56" s="36"/>
      <c r="J56" s="69" t="s">
        <v>81</v>
      </c>
      <c r="K56" s="36"/>
      <c r="L56" s="36"/>
      <c r="M56" s="36"/>
      <c r="N56" s="37"/>
      <c r="O56" s="72"/>
    </row>
    <row r="57" spans="1:15" ht="22.5" customHeight="1" x14ac:dyDescent="0.25">
      <c r="A57" s="4"/>
      <c r="B57" s="4"/>
      <c r="C57" s="58" t="s">
        <v>86</v>
      </c>
      <c r="D57" s="12"/>
      <c r="E57" s="12"/>
      <c r="F57" s="12"/>
      <c r="G57" s="12"/>
      <c r="H57" s="69" t="s">
        <v>56</v>
      </c>
      <c r="I57" s="36"/>
      <c r="J57" s="69" t="s">
        <v>56</v>
      </c>
      <c r="K57" s="36"/>
      <c r="L57" s="36"/>
      <c r="M57" s="36"/>
      <c r="N57" s="37"/>
      <c r="O57" s="72"/>
    </row>
    <row r="58" spans="1:15" ht="22.5" customHeight="1" x14ac:dyDescent="0.25">
      <c r="A58" s="4"/>
      <c r="B58" s="4"/>
      <c r="C58" s="58" t="s">
        <v>87</v>
      </c>
      <c r="D58" s="12"/>
      <c r="E58" s="12"/>
      <c r="F58" s="12"/>
      <c r="G58" s="12"/>
      <c r="H58" s="69" t="s">
        <v>56</v>
      </c>
      <c r="I58" s="36"/>
      <c r="J58" s="69" t="s">
        <v>56</v>
      </c>
      <c r="K58" s="36"/>
      <c r="L58" s="36"/>
      <c r="M58" s="36"/>
      <c r="N58" s="37"/>
      <c r="O58" s="72"/>
    </row>
    <row r="59" spans="1:15" ht="22.5" customHeight="1" x14ac:dyDescent="0.25">
      <c r="A59" s="4"/>
      <c r="B59" s="4"/>
      <c r="C59" s="58" t="s">
        <v>88</v>
      </c>
      <c r="D59" s="12"/>
      <c r="E59" s="12"/>
      <c r="F59" s="12"/>
      <c r="G59" s="12"/>
      <c r="H59" s="73"/>
      <c r="I59" s="36"/>
      <c r="J59" s="73"/>
      <c r="K59" s="36"/>
      <c r="L59" s="36"/>
      <c r="M59" s="36"/>
      <c r="N59" s="37"/>
      <c r="O59" s="72"/>
    </row>
    <row r="60" spans="1:15" ht="22.5" customHeight="1" x14ac:dyDescent="0.25">
      <c r="A60" s="56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</row>
    <row r="61" spans="1:15" ht="38.25" customHeight="1" x14ac:dyDescent="0.25">
      <c r="A61" s="54" t="s">
        <v>89</v>
      </c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39"/>
      <c r="O61" s="53"/>
    </row>
    <row r="62" spans="1:15" ht="22.5" customHeight="1" x14ac:dyDescent="0.25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</row>
    <row r="63" spans="1:15" ht="22.5" customHeight="1" x14ac:dyDescent="0.25">
      <c r="A63" s="74" t="s">
        <v>90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53"/>
    </row>
    <row r="64" spans="1:15" ht="22.5" customHeight="1" x14ac:dyDescent="0.25">
      <c r="A64" s="53"/>
      <c r="B64" s="53"/>
      <c r="C64" s="53"/>
      <c r="D64" s="53"/>
      <c r="E64" s="53"/>
      <c r="F64" s="75" t="s">
        <v>91</v>
      </c>
      <c r="G64" s="75" t="s">
        <v>92</v>
      </c>
      <c r="H64" s="76" t="s">
        <v>93</v>
      </c>
      <c r="I64" s="75" t="s">
        <v>94</v>
      </c>
      <c r="J64" s="53"/>
      <c r="K64" s="53"/>
      <c r="L64" s="53"/>
      <c r="M64" s="53"/>
      <c r="N64" s="53"/>
      <c r="O64" s="53"/>
    </row>
    <row r="65" spans="1:15" ht="22.5" customHeight="1" x14ac:dyDescent="0.25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</row>
    <row r="66" spans="1:15" ht="22.5" customHeight="1" x14ac:dyDescent="0.25">
      <c r="A66" s="53"/>
      <c r="B66" s="53"/>
      <c r="C66" s="53"/>
      <c r="D66" s="53"/>
      <c r="E66" s="53"/>
      <c r="F66" s="53"/>
      <c r="G66" s="53"/>
      <c r="H66" s="77" t="s">
        <v>95</v>
      </c>
      <c r="I66" s="68" t="s">
        <v>96</v>
      </c>
      <c r="J66" s="4"/>
      <c r="K66" s="4"/>
      <c r="L66" s="4"/>
      <c r="M66" s="4"/>
      <c r="N66" s="4"/>
      <c r="O66" s="53"/>
    </row>
    <row r="67" spans="1:15" ht="22.5" customHeight="1" x14ac:dyDescent="0.25">
      <c r="A67" s="57" t="s">
        <v>97</v>
      </c>
      <c r="B67" s="4"/>
      <c r="C67" s="60" t="s">
        <v>98</v>
      </c>
      <c r="D67" s="55"/>
      <c r="E67" s="55"/>
      <c r="F67" s="55"/>
      <c r="G67" s="55"/>
      <c r="H67" s="78">
        <v>3</v>
      </c>
      <c r="I67" s="59" t="s">
        <v>99</v>
      </c>
      <c r="J67" s="36"/>
      <c r="K67" s="36"/>
      <c r="L67" s="36"/>
      <c r="M67" s="36"/>
      <c r="N67" s="37"/>
      <c r="O67" s="53"/>
    </row>
    <row r="68" spans="1:15" ht="22.5" customHeight="1" x14ac:dyDescent="0.25">
      <c r="A68" s="4"/>
      <c r="B68" s="4"/>
      <c r="C68" s="60" t="s">
        <v>100</v>
      </c>
      <c r="D68" s="55"/>
      <c r="E68" s="55"/>
      <c r="F68" s="55"/>
      <c r="G68" s="55"/>
      <c r="H68" s="78">
        <v>3</v>
      </c>
      <c r="I68" s="59" t="s">
        <v>101</v>
      </c>
      <c r="J68" s="36"/>
      <c r="K68" s="36"/>
      <c r="L68" s="36"/>
      <c r="M68" s="36"/>
      <c r="N68" s="37"/>
      <c r="O68" s="53"/>
    </row>
    <row r="69" spans="1:15" ht="22.5" customHeight="1" x14ac:dyDescent="0.25">
      <c r="A69" s="4"/>
      <c r="B69" s="4"/>
      <c r="C69" s="60" t="s">
        <v>102</v>
      </c>
      <c r="D69" s="55"/>
      <c r="E69" s="55"/>
      <c r="F69" s="55"/>
      <c r="G69" s="55"/>
      <c r="H69" s="78">
        <v>2</v>
      </c>
      <c r="I69" s="59" t="s">
        <v>103</v>
      </c>
      <c r="J69" s="36"/>
      <c r="K69" s="36"/>
      <c r="L69" s="36"/>
      <c r="M69" s="36"/>
      <c r="N69" s="37"/>
      <c r="O69" s="53"/>
    </row>
    <row r="70" spans="1:15" ht="22.5" customHeight="1" x14ac:dyDescent="0.25">
      <c r="A70" s="4"/>
      <c r="B70" s="4"/>
      <c r="C70" s="60" t="s">
        <v>104</v>
      </c>
      <c r="D70" s="55"/>
      <c r="E70" s="55"/>
      <c r="F70" s="55"/>
      <c r="G70" s="55"/>
      <c r="H70" s="78">
        <v>2</v>
      </c>
      <c r="I70" s="59" t="s">
        <v>103</v>
      </c>
      <c r="J70" s="36"/>
      <c r="K70" s="36"/>
      <c r="L70" s="36"/>
      <c r="M70" s="36"/>
      <c r="N70" s="37"/>
      <c r="O70" s="53"/>
    </row>
    <row r="71" spans="1:15" ht="22.5" customHeight="1" x14ac:dyDescent="0.25">
      <c r="A71" s="4"/>
      <c r="B71" s="4"/>
      <c r="C71" s="60" t="s">
        <v>105</v>
      </c>
      <c r="D71" s="55"/>
      <c r="E71" s="55"/>
      <c r="F71" s="55"/>
      <c r="G71" s="55"/>
      <c r="H71" s="78">
        <v>1</v>
      </c>
      <c r="I71" s="59" t="s">
        <v>106</v>
      </c>
      <c r="J71" s="36"/>
      <c r="K71" s="36"/>
      <c r="L71" s="36"/>
      <c r="M71" s="36"/>
      <c r="N71" s="37"/>
      <c r="O71" s="53"/>
    </row>
    <row r="72" spans="1:15" ht="22.5" customHeight="1" x14ac:dyDescent="0.25">
      <c r="A72" s="4"/>
      <c r="B72" s="4"/>
      <c r="C72" s="60" t="s">
        <v>107</v>
      </c>
      <c r="D72" s="55"/>
      <c r="E72" s="55"/>
      <c r="F72" s="55"/>
      <c r="G72" s="55"/>
      <c r="H72" s="78">
        <v>2</v>
      </c>
      <c r="I72" s="59" t="s">
        <v>108</v>
      </c>
      <c r="J72" s="36"/>
      <c r="K72" s="36"/>
      <c r="L72" s="36"/>
      <c r="M72" s="36"/>
      <c r="N72" s="37"/>
      <c r="O72" s="53"/>
    </row>
    <row r="73" spans="1:15" ht="22.5" customHeight="1" x14ac:dyDescent="0.25">
      <c r="A73" s="4"/>
      <c r="B73" s="4"/>
      <c r="C73" s="60" t="s">
        <v>109</v>
      </c>
      <c r="D73" s="55"/>
      <c r="E73" s="55"/>
      <c r="F73" s="55"/>
      <c r="G73" s="55"/>
      <c r="H73" s="78">
        <v>2</v>
      </c>
      <c r="I73" s="59" t="s">
        <v>110</v>
      </c>
      <c r="J73" s="36"/>
      <c r="K73" s="36"/>
      <c r="L73" s="36"/>
      <c r="M73" s="36"/>
      <c r="N73" s="37"/>
      <c r="O73" s="53"/>
    </row>
    <row r="74" spans="1:15" ht="22.5" customHeight="1" x14ac:dyDescent="0.25">
      <c r="A74" s="4"/>
      <c r="B74" s="4"/>
      <c r="C74" s="60" t="s">
        <v>111</v>
      </c>
      <c r="D74" s="55"/>
      <c r="E74" s="55"/>
      <c r="F74" s="55"/>
      <c r="G74" s="55"/>
      <c r="H74" s="78">
        <v>1</v>
      </c>
      <c r="I74" s="59" t="s">
        <v>112</v>
      </c>
      <c r="J74" s="36"/>
      <c r="K74" s="36"/>
      <c r="L74" s="36"/>
      <c r="M74" s="36"/>
      <c r="N74" s="37"/>
      <c r="O74" s="53"/>
    </row>
    <row r="75" spans="1:15" ht="22.5" customHeight="1" x14ac:dyDescent="0.25">
      <c r="A75" s="4"/>
      <c r="B75" s="4"/>
      <c r="C75" s="60" t="s">
        <v>113</v>
      </c>
      <c r="D75" s="55"/>
      <c r="E75" s="55"/>
      <c r="F75" s="55"/>
      <c r="G75" s="55"/>
      <c r="H75" s="78">
        <v>1</v>
      </c>
      <c r="I75" s="59" t="s">
        <v>114</v>
      </c>
      <c r="J75" s="36"/>
      <c r="K75" s="36"/>
      <c r="L75" s="36"/>
      <c r="M75" s="36"/>
      <c r="N75" s="37"/>
      <c r="O75" s="53"/>
    </row>
    <row r="76" spans="1:15" ht="22.5" customHeight="1" x14ac:dyDescent="0.25">
      <c r="A76" s="4"/>
      <c r="B76" s="4"/>
      <c r="C76" s="60" t="s">
        <v>115</v>
      </c>
      <c r="D76" s="55"/>
      <c r="E76" s="55"/>
      <c r="F76" s="55"/>
      <c r="G76" s="55"/>
      <c r="H76" s="78">
        <v>3</v>
      </c>
      <c r="I76" s="59" t="s">
        <v>116</v>
      </c>
      <c r="J76" s="36"/>
      <c r="K76" s="36"/>
      <c r="L76" s="36"/>
      <c r="M76" s="36"/>
      <c r="N76" s="37"/>
      <c r="O76" s="53"/>
    </row>
    <row r="77" spans="1:15" ht="22.5" customHeight="1" x14ac:dyDescent="0.25">
      <c r="A77" s="4"/>
      <c r="B77" s="4"/>
      <c r="C77" s="60" t="s">
        <v>117</v>
      </c>
      <c r="D77" s="55"/>
      <c r="E77" s="55"/>
      <c r="F77" s="55"/>
      <c r="G77" s="55"/>
      <c r="H77" s="78">
        <v>2</v>
      </c>
      <c r="I77" s="59" t="s">
        <v>118</v>
      </c>
      <c r="J77" s="36"/>
      <c r="K77" s="36"/>
      <c r="L77" s="36"/>
      <c r="M77" s="36"/>
      <c r="N77" s="37"/>
      <c r="O77" s="53"/>
    </row>
    <row r="78" spans="1:15" ht="22.5" customHeight="1" x14ac:dyDescent="0.25">
      <c r="A78" s="4"/>
      <c r="B78" s="4"/>
      <c r="C78" s="60" t="s">
        <v>119</v>
      </c>
      <c r="D78" s="55"/>
      <c r="E78" s="55"/>
      <c r="F78" s="55"/>
      <c r="G78" s="55"/>
      <c r="H78" s="78">
        <v>1</v>
      </c>
      <c r="I78" s="59" t="s">
        <v>120</v>
      </c>
      <c r="J78" s="36"/>
      <c r="K78" s="36"/>
      <c r="L78" s="36"/>
      <c r="M78" s="36"/>
      <c r="N78" s="37"/>
      <c r="O78" s="53"/>
    </row>
    <row r="79" spans="1:15" ht="22.5" customHeight="1" x14ac:dyDescent="0.25">
      <c r="A79" s="4"/>
      <c r="B79" s="4"/>
      <c r="C79" s="60" t="s">
        <v>121</v>
      </c>
      <c r="D79" s="55"/>
      <c r="E79" s="55"/>
      <c r="F79" s="55"/>
      <c r="G79" s="55"/>
      <c r="H79" s="78">
        <v>1</v>
      </c>
      <c r="I79" s="59" t="s">
        <v>122</v>
      </c>
      <c r="J79" s="36"/>
      <c r="K79" s="36"/>
      <c r="L79" s="36"/>
      <c r="M79" s="36"/>
      <c r="N79" s="37"/>
      <c r="O79" s="53"/>
    </row>
    <row r="80" spans="1:15" ht="22.5" customHeight="1" x14ac:dyDescent="0.25">
      <c r="A80" s="4"/>
      <c r="B80" s="4"/>
      <c r="C80" s="60" t="s">
        <v>123</v>
      </c>
      <c r="D80" s="55"/>
      <c r="E80" s="55"/>
      <c r="F80" s="55"/>
      <c r="G80" s="55"/>
      <c r="H80" s="78">
        <v>1</v>
      </c>
      <c r="I80" s="59" t="s">
        <v>124</v>
      </c>
      <c r="J80" s="36"/>
      <c r="K80" s="36"/>
      <c r="L80" s="36"/>
      <c r="M80" s="36"/>
      <c r="N80" s="37"/>
      <c r="O80" s="53"/>
    </row>
    <row r="81" spans="1:15" ht="22.5" customHeight="1" x14ac:dyDescent="0.25">
      <c r="A81" s="4"/>
      <c r="B81" s="4"/>
      <c r="C81" s="60" t="s">
        <v>125</v>
      </c>
      <c r="D81" s="55"/>
      <c r="E81" s="55"/>
      <c r="F81" s="55"/>
      <c r="G81" s="55"/>
      <c r="H81" s="78">
        <v>1</v>
      </c>
      <c r="I81" s="59" t="s">
        <v>126</v>
      </c>
      <c r="J81" s="36"/>
      <c r="K81" s="36"/>
      <c r="L81" s="36"/>
      <c r="M81" s="36"/>
      <c r="N81" s="37"/>
      <c r="O81" s="53"/>
    </row>
    <row r="82" spans="1:15" ht="22.5" customHeight="1" x14ac:dyDescent="0.25">
      <c r="A82" s="53"/>
      <c r="B82" s="53"/>
      <c r="C82" s="53"/>
      <c r="D82" s="53"/>
      <c r="E82" s="53"/>
      <c r="F82" s="56"/>
      <c r="G82" s="4"/>
      <c r="H82" s="53"/>
      <c r="I82" s="53"/>
      <c r="J82" s="53"/>
      <c r="K82" s="53"/>
      <c r="L82" s="53"/>
      <c r="M82" s="53"/>
      <c r="N82" s="53"/>
      <c r="O82" s="53"/>
    </row>
    <row r="83" spans="1:15" ht="22.5" customHeight="1" x14ac:dyDescent="0.25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</row>
    <row r="84" spans="1:15" ht="22.5" customHeight="1" x14ac:dyDescent="0.25">
      <c r="A84" s="53"/>
      <c r="B84" s="53"/>
      <c r="C84" s="53"/>
      <c r="D84" s="53"/>
      <c r="E84" s="53"/>
      <c r="F84" s="53"/>
      <c r="G84" s="53"/>
      <c r="H84" s="77" t="s">
        <v>95</v>
      </c>
      <c r="I84" s="68" t="s">
        <v>96</v>
      </c>
      <c r="J84" s="4"/>
      <c r="K84" s="4"/>
      <c r="L84" s="4"/>
      <c r="M84" s="4"/>
      <c r="N84" s="4"/>
      <c r="O84" s="53"/>
    </row>
    <row r="85" spans="1:15" ht="22.5" customHeight="1" x14ac:dyDescent="0.25">
      <c r="A85" s="57" t="s">
        <v>127</v>
      </c>
      <c r="B85" s="4"/>
      <c r="C85" s="58" t="s">
        <v>128</v>
      </c>
      <c r="D85" s="12"/>
      <c r="E85" s="12"/>
      <c r="F85" s="12"/>
      <c r="G85" s="12"/>
      <c r="H85" s="78">
        <v>2</v>
      </c>
      <c r="I85" s="59" t="s">
        <v>129</v>
      </c>
      <c r="J85" s="36"/>
      <c r="K85" s="36"/>
      <c r="L85" s="36"/>
      <c r="M85" s="36"/>
      <c r="N85" s="37"/>
      <c r="O85" s="53"/>
    </row>
    <row r="86" spans="1:15" ht="22.5" customHeight="1" x14ac:dyDescent="0.25">
      <c r="A86" s="4"/>
      <c r="B86" s="4"/>
      <c r="C86" s="58" t="s">
        <v>130</v>
      </c>
      <c r="D86" s="12"/>
      <c r="E86" s="12"/>
      <c r="F86" s="12"/>
      <c r="G86" s="12"/>
      <c r="H86" s="78">
        <v>1</v>
      </c>
      <c r="I86" s="59" t="s">
        <v>131</v>
      </c>
      <c r="J86" s="36"/>
      <c r="K86" s="36"/>
      <c r="L86" s="36"/>
      <c r="M86" s="36"/>
      <c r="N86" s="37"/>
      <c r="O86" s="53"/>
    </row>
    <row r="87" spans="1:15" ht="22.5" customHeight="1" x14ac:dyDescent="0.25">
      <c r="A87" s="4"/>
      <c r="B87" s="4"/>
      <c r="C87" s="58" t="s">
        <v>132</v>
      </c>
      <c r="D87" s="12"/>
      <c r="E87" s="12"/>
      <c r="F87" s="12"/>
      <c r="G87" s="12"/>
      <c r="H87" s="78">
        <v>2</v>
      </c>
      <c r="I87" s="59" t="s">
        <v>133</v>
      </c>
      <c r="J87" s="36"/>
      <c r="K87" s="36"/>
      <c r="L87" s="36"/>
      <c r="M87" s="36"/>
      <c r="N87" s="37"/>
      <c r="O87" s="53"/>
    </row>
    <row r="88" spans="1:15" ht="22.5" customHeight="1" x14ac:dyDescent="0.25">
      <c r="A88" s="4"/>
      <c r="B88" s="4"/>
      <c r="C88" s="58" t="s">
        <v>134</v>
      </c>
      <c r="D88" s="12"/>
      <c r="E88" s="12"/>
      <c r="F88" s="12"/>
      <c r="G88" s="12"/>
      <c r="H88" s="78">
        <v>1</v>
      </c>
      <c r="I88" s="59" t="s">
        <v>135</v>
      </c>
      <c r="J88" s="36"/>
      <c r="K88" s="36"/>
      <c r="L88" s="36"/>
      <c r="M88" s="36"/>
      <c r="N88" s="37"/>
      <c r="O88" s="53"/>
    </row>
    <row r="89" spans="1:15" ht="22.5" customHeight="1" x14ac:dyDescent="0.25">
      <c r="A89" s="79"/>
      <c r="B89" s="79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53"/>
    </row>
    <row r="90" spans="1:15" ht="22.5" customHeight="1" x14ac:dyDescent="0.25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</row>
    <row r="91" spans="1:15" ht="22.5" customHeight="1" x14ac:dyDescent="0.25">
      <c r="A91" s="53"/>
      <c r="B91" s="53"/>
      <c r="C91" s="53"/>
      <c r="D91" s="53"/>
      <c r="E91" s="53"/>
      <c r="F91" s="53"/>
      <c r="G91" s="53"/>
      <c r="H91" s="77" t="s">
        <v>95</v>
      </c>
      <c r="I91" s="68" t="s">
        <v>96</v>
      </c>
      <c r="J91" s="4"/>
      <c r="K91" s="4"/>
      <c r="L91" s="4"/>
      <c r="M91" s="4"/>
      <c r="N91" s="4"/>
      <c r="O91" s="53"/>
    </row>
    <row r="92" spans="1:15" ht="22.5" customHeight="1" x14ac:dyDescent="0.25">
      <c r="A92" s="57" t="s">
        <v>136</v>
      </c>
      <c r="B92" s="4"/>
      <c r="C92" s="58" t="s">
        <v>137</v>
      </c>
      <c r="D92" s="12"/>
      <c r="E92" s="12"/>
      <c r="F92" s="12"/>
      <c r="G92" s="12"/>
      <c r="H92" s="78">
        <v>1</v>
      </c>
      <c r="I92" s="59" t="s">
        <v>138</v>
      </c>
      <c r="J92" s="36"/>
      <c r="K92" s="36"/>
      <c r="L92" s="36"/>
      <c r="M92" s="36"/>
      <c r="N92" s="37"/>
      <c r="O92" s="53"/>
    </row>
    <row r="93" spans="1:15" ht="22.5" customHeight="1" x14ac:dyDescent="0.25">
      <c r="A93" s="4"/>
      <c r="B93" s="4"/>
      <c r="C93" s="58" t="s">
        <v>139</v>
      </c>
      <c r="D93" s="12"/>
      <c r="E93" s="12"/>
      <c r="F93" s="12"/>
      <c r="G93" s="12"/>
      <c r="H93" s="78">
        <v>1</v>
      </c>
      <c r="I93" s="59" t="s">
        <v>140</v>
      </c>
      <c r="J93" s="36"/>
      <c r="K93" s="36"/>
      <c r="L93" s="36"/>
      <c r="M93" s="36"/>
      <c r="N93" s="37"/>
      <c r="O93" s="53"/>
    </row>
    <row r="94" spans="1:15" ht="22.5" customHeight="1" x14ac:dyDescent="0.25">
      <c r="A94" s="4"/>
      <c r="B94" s="4"/>
      <c r="C94" s="58" t="s">
        <v>141</v>
      </c>
      <c r="D94" s="12"/>
      <c r="E94" s="12"/>
      <c r="F94" s="12"/>
      <c r="G94" s="12"/>
      <c r="H94" s="78">
        <v>1</v>
      </c>
      <c r="I94" s="59" t="s">
        <v>142</v>
      </c>
      <c r="J94" s="36"/>
      <c r="K94" s="36"/>
      <c r="L94" s="36"/>
      <c r="M94" s="36"/>
      <c r="N94" s="37"/>
      <c r="O94" s="53"/>
    </row>
    <row r="95" spans="1:15" ht="22.5" customHeight="1" x14ac:dyDescent="0.25">
      <c r="A95" s="4"/>
      <c r="B95" s="4"/>
      <c r="C95" s="58" t="s">
        <v>143</v>
      </c>
      <c r="D95" s="12"/>
      <c r="E95" s="12"/>
      <c r="F95" s="12"/>
      <c r="G95" s="12"/>
      <c r="H95" s="78">
        <v>1</v>
      </c>
      <c r="I95" s="59" t="s">
        <v>144</v>
      </c>
      <c r="J95" s="36"/>
      <c r="K95" s="36"/>
      <c r="L95" s="36"/>
      <c r="M95" s="36"/>
      <c r="N95" s="37"/>
      <c r="O95" s="53"/>
    </row>
    <row r="96" spans="1:15" ht="22.5" customHeight="1" x14ac:dyDescent="0.25">
      <c r="A96" s="79"/>
      <c r="B96" s="79"/>
      <c r="C96" s="31"/>
      <c r="D96" s="31"/>
      <c r="E96" s="31"/>
      <c r="F96" s="80"/>
      <c r="G96" s="4"/>
      <c r="H96" s="31"/>
      <c r="I96" s="31"/>
      <c r="J96" s="31"/>
      <c r="K96" s="31"/>
      <c r="L96" s="31"/>
      <c r="M96" s="31"/>
      <c r="N96" s="31"/>
      <c r="O96" s="53"/>
    </row>
    <row r="97" spans="1:15" ht="22.5" customHeight="1" x14ac:dyDescent="0.25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</row>
    <row r="98" spans="1:15" ht="22.5" customHeight="1" x14ac:dyDescent="0.25">
      <c r="A98" s="53"/>
      <c r="B98" s="53"/>
      <c r="C98" s="53"/>
      <c r="D98" s="53"/>
      <c r="E98" s="53"/>
      <c r="F98" s="53"/>
      <c r="G98" s="53"/>
      <c r="H98" s="77" t="s">
        <v>95</v>
      </c>
      <c r="I98" s="68" t="s">
        <v>96</v>
      </c>
      <c r="J98" s="4"/>
      <c r="K98" s="4"/>
      <c r="L98" s="4"/>
      <c r="M98" s="4"/>
      <c r="N98" s="4"/>
      <c r="O98" s="53"/>
    </row>
    <row r="99" spans="1:15" ht="22.5" customHeight="1" x14ac:dyDescent="0.25">
      <c r="A99" s="57" t="s">
        <v>145</v>
      </c>
      <c r="B99" s="4"/>
      <c r="C99" s="58" t="s">
        <v>146</v>
      </c>
      <c r="D99" s="12"/>
      <c r="E99" s="12"/>
      <c r="F99" s="12"/>
      <c r="G99" s="12"/>
      <c r="H99" s="78">
        <v>1</v>
      </c>
      <c r="I99" s="59" t="s">
        <v>147</v>
      </c>
      <c r="J99" s="36"/>
      <c r="K99" s="36"/>
      <c r="L99" s="36"/>
      <c r="M99" s="36"/>
      <c r="N99" s="37"/>
      <c r="O99" s="53"/>
    </row>
    <row r="100" spans="1:15" ht="22.5" customHeight="1" x14ac:dyDescent="0.25">
      <c r="A100" s="4"/>
      <c r="B100" s="4"/>
      <c r="C100" s="58" t="s">
        <v>148</v>
      </c>
      <c r="D100" s="12"/>
      <c r="E100" s="12"/>
      <c r="F100" s="12"/>
      <c r="G100" s="12"/>
      <c r="H100" s="78">
        <v>1</v>
      </c>
      <c r="I100" s="59" t="s">
        <v>149</v>
      </c>
      <c r="J100" s="36"/>
      <c r="K100" s="36"/>
      <c r="L100" s="36"/>
      <c r="M100" s="36"/>
      <c r="N100" s="37"/>
      <c r="O100" s="53"/>
    </row>
    <row r="101" spans="1:15" ht="22.5" customHeight="1" x14ac:dyDescent="0.25">
      <c r="A101" s="4"/>
      <c r="B101" s="4"/>
      <c r="C101" s="58" t="s">
        <v>150</v>
      </c>
      <c r="D101" s="12"/>
      <c r="E101" s="12"/>
      <c r="F101" s="12"/>
      <c r="G101" s="12"/>
      <c r="H101" s="78">
        <v>1</v>
      </c>
      <c r="I101" s="59" t="s">
        <v>151</v>
      </c>
      <c r="J101" s="36"/>
      <c r="K101" s="36"/>
      <c r="L101" s="36"/>
      <c r="M101" s="36"/>
      <c r="N101" s="37"/>
      <c r="O101" s="53"/>
    </row>
    <row r="102" spans="1:15" ht="22.5" customHeight="1" x14ac:dyDescent="0.25">
      <c r="A102" s="4"/>
      <c r="B102" s="4"/>
      <c r="C102" s="58" t="s">
        <v>152</v>
      </c>
      <c r="D102" s="12"/>
      <c r="E102" s="12"/>
      <c r="F102" s="12"/>
      <c r="G102" s="12"/>
      <c r="H102" s="78">
        <v>2</v>
      </c>
      <c r="I102" s="59" t="s">
        <v>153</v>
      </c>
      <c r="J102" s="36"/>
      <c r="K102" s="36"/>
      <c r="L102" s="36"/>
      <c r="M102" s="36"/>
      <c r="N102" s="37"/>
      <c r="O102" s="53"/>
    </row>
    <row r="103" spans="1:15" ht="22.5" customHeight="1" x14ac:dyDescent="0.25">
      <c r="A103" s="79"/>
      <c r="B103" s="79"/>
      <c r="C103" s="31"/>
      <c r="D103" s="31"/>
      <c r="E103" s="31"/>
      <c r="F103" s="80"/>
      <c r="G103" s="4"/>
      <c r="H103" s="31"/>
      <c r="I103" s="31"/>
      <c r="J103" s="31"/>
      <c r="K103" s="31"/>
      <c r="L103" s="31"/>
      <c r="M103" s="31"/>
      <c r="N103" s="31"/>
      <c r="O103" s="53"/>
    </row>
    <row r="104" spans="1:15" ht="22.5" customHeight="1" x14ac:dyDescent="0.25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</row>
    <row r="105" spans="1:15" ht="22.5" customHeight="1" x14ac:dyDescent="0.25">
      <c r="A105" s="53"/>
      <c r="B105" s="53"/>
      <c r="C105" s="53"/>
      <c r="D105" s="53"/>
      <c r="E105" s="53"/>
      <c r="F105" s="53"/>
      <c r="G105" s="53"/>
      <c r="H105" s="77" t="s">
        <v>95</v>
      </c>
      <c r="I105" s="68" t="s">
        <v>96</v>
      </c>
      <c r="J105" s="4"/>
      <c r="K105" s="4"/>
      <c r="L105" s="4"/>
      <c r="M105" s="4"/>
      <c r="N105" s="4"/>
      <c r="O105" s="53"/>
    </row>
    <row r="106" spans="1:15" ht="22.5" customHeight="1" x14ac:dyDescent="0.25">
      <c r="A106" s="57" t="s">
        <v>154</v>
      </c>
      <c r="B106" s="4"/>
      <c r="C106" s="58" t="s">
        <v>155</v>
      </c>
      <c r="D106" s="12"/>
      <c r="E106" s="12"/>
      <c r="F106" s="12"/>
      <c r="G106" s="12"/>
      <c r="H106" s="78">
        <v>2</v>
      </c>
      <c r="I106" s="59" t="s">
        <v>156</v>
      </c>
      <c r="J106" s="36"/>
      <c r="K106" s="36"/>
      <c r="L106" s="36"/>
      <c r="M106" s="36"/>
      <c r="N106" s="37"/>
      <c r="O106" s="53"/>
    </row>
    <row r="107" spans="1:15" ht="22.5" customHeight="1" x14ac:dyDescent="0.25">
      <c r="A107" s="4"/>
      <c r="B107" s="4"/>
      <c r="C107" s="58" t="s">
        <v>157</v>
      </c>
      <c r="D107" s="12"/>
      <c r="E107" s="12"/>
      <c r="F107" s="12"/>
      <c r="G107" s="12"/>
      <c r="H107" s="78">
        <v>3</v>
      </c>
      <c r="I107" s="59" t="s">
        <v>158</v>
      </c>
      <c r="J107" s="36"/>
      <c r="K107" s="36"/>
      <c r="L107" s="36"/>
      <c r="M107" s="36"/>
      <c r="N107" s="37"/>
      <c r="O107" s="53"/>
    </row>
    <row r="108" spans="1:15" ht="22.5" customHeight="1" x14ac:dyDescent="0.25">
      <c r="A108" s="4"/>
      <c r="B108" s="4"/>
      <c r="C108" s="58" t="s">
        <v>159</v>
      </c>
      <c r="D108" s="12"/>
      <c r="E108" s="12"/>
      <c r="F108" s="12"/>
      <c r="G108" s="12"/>
      <c r="H108" s="78">
        <v>3</v>
      </c>
      <c r="I108" s="59" t="s">
        <v>160</v>
      </c>
      <c r="J108" s="36"/>
      <c r="K108" s="36"/>
      <c r="L108" s="36"/>
      <c r="M108" s="36"/>
      <c r="N108" s="37"/>
      <c r="O108" s="53"/>
    </row>
    <row r="109" spans="1:15" ht="22.5" customHeight="1" x14ac:dyDescent="0.25">
      <c r="A109" s="4"/>
      <c r="B109" s="4"/>
      <c r="C109" s="58" t="s">
        <v>161</v>
      </c>
      <c r="D109" s="12"/>
      <c r="E109" s="12"/>
      <c r="F109" s="12"/>
      <c r="G109" s="12"/>
      <c r="H109" s="78">
        <v>3</v>
      </c>
      <c r="I109" s="59" t="s">
        <v>162</v>
      </c>
      <c r="J109" s="36"/>
      <c r="K109" s="36"/>
      <c r="L109" s="36"/>
      <c r="M109" s="36"/>
      <c r="N109" s="37"/>
      <c r="O109" s="53"/>
    </row>
    <row r="110" spans="1:15" ht="22.5" customHeight="1" x14ac:dyDescent="0.25">
      <c r="A110" s="79"/>
      <c r="B110" s="79"/>
      <c r="C110" s="31"/>
      <c r="D110" s="31"/>
      <c r="E110" s="31"/>
      <c r="F110" s="80"/>
      <c r="G110" s="4"/>
      <c r="H110" s="31"/>
      <c r="I110" s="31"/>
      <c r="J110" s="31"/>
      <c r="K110" s="31"/>
      <c r="L110" s="31"/>
      <c r="M110" s="31"/>
      <c r="N110" s="31"/>
      <c r="O110" s="53"/>
    </row>
    <row r="111" spans="1:15" ht="22.5" customHeight="1" x14ac:dyDescent="0.25">
      <c r="A111" s="79"/>
      <c r="B111" s="79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53"/>
    </row>
    <row r="112" spans="1:15" ht="22.5" customHeight="1" x14ac:dyDescent="0.25">
      <c r="A112" s="79"/>
      <c r="B112" s="79"/>
      <c r="C112" s="81" t="s">
        <v>163</v>
      </c>
      <c r="D112" s="4"/>
      <c r="E112" s="4"/>
      <c r="F112" s="4"/>
      <c r="G112" s="4"/>
      <c r="H112" s="4"/>
      <c r="I112" s="31"/>
      <c r="J112" s="31"/>
      <c r="K112" s="31"/>
      <c r="L112" s="31"/>
      <c r="M112" s="31"/>
      <c r="N112" s="31"/>
      <c r="O112" s="53"/>
    </row>
    <row r="113" spans="1:15" ht="22.5" customHeight="1" x14ac:dyDescent="0.25">
      <c r="A113" s="82"/>
      <c r="B113" s="82"/>
      <c r="C113" s="83" t="s">
        <v>164</v>
      </c>
      <c r="D113" s="4"/>
      <c r="E113" s="4"/>
      <c r="F113" s="4"/>
      <c r="G113" s="4"/>
      <c r="H113" s="4"/>
      <c r="I113" s="72"/>
      <c r="J113" s="72"/>
      <c r="K113" s="72"/>
      <c r="L113" s="72"/>
      <c r="M113" s="72"/>
      <c r="N113" s="72"/>
      <c r="O113" s="72"/>
    </row>
    <row r="114" spans="1:15" ht="22.5" customHeight="1" outlineLevel="1" x14ac:dyDescent="0.25">
      <c r="A114" s="84"/>
      <c r="B114" s="85"/>
      <c r="C114" s="86"/>
      <c r="D114" s="86"/>
      <c r="E114" s="86"/>
      <c r="F114" s="86"/>
      <c r="G114" s="86"/>
      <c r="H114" s="86"/>
      <c r="I114" s="86"/>
      <c r="J114" s="86"/>
      <c r="K114" s="86"/>
      <c r="L114" s="86"/>
      <c r="M114" s="86"/>
      <c r="N114" s="86"/>
      <c r="O114" s="86"/>
    </row>
    <row r="115" spans="1:15" ht="22.5" customHeight="1" outlineLevel="1" x14ac:dyDescent="0.25">
      <c r="A115" s="84"/>
      <c r="B115" s="85"/>
      <c r="C115" s="87" t="s">
        <v>165</v>
      </c>
      <c r="D115" s="4"/>
      <c r="E115" s="4"/>
      <c r="F115" s="4"/>
      <c r="G115" s="4"/>
      <c r="H115" s="4"/>
      <c r="I115" s="86"/>
      <c r="J115" s="86"/>
      <c r="K115" s="86"/>
      <c r="L115" s="86"/>
      <c r="M115" s="86"/>
      <c r="N115" s="86"/>
      <c r="O115" s="86"/>
    </row>
    <row r="116" spans="1:15" ht="22.5" customHeight="1" outlineLevel="1" x14ac:dyDescent="0.25">
      <c r="A116" s="84"/>
      <c r="B116" s="85"/>
      <c r="C116" s="88" t="s">
        <v>166</v>
      </c>
      <c r="D116" s="4"/>
      <c r="E116" s="4"/>
      <c r="F116" s="4"/>
      <c r="G116" s="4"/>
      <c r="H116" s="4"/>
      <c r="I116" s="86"/>
      <c r="J116" s="86"/>
      <c r="K116" s="86"/>
      <c r="L116" s="86"/>
      <c r="M116" s="86"/>
      <c r="N116" s="86"/>
      <c r="O116" s="86"/>
    </row>
    <row r="117" spans="1:15" ht="22.5" customHeight="1" outlineLevel="1" x14ac:dyDescent="0.25">
      <c r="A117" s="84"/>
      <c r="B117" s="85"/>
      <c r="C117" s="4"/>
      <c r="D117" s="4"/>
      <c r="E117" s="4"/>
      <c r="F117" s="4"/>
      <c r="G117" s="4"/>
      <c r="H117" s="4"/>
      <c r="I117" s="86"/>
      <c r="J117" s="86"/>
      <c r="K117" s="86"/>
      <c r="L117" s="86"/>
      <c r="M117" s="86"/>
      <c r="N117" s="86"/>
      <c r="O117" s="86"/>
    </row>
    <row r="118" spans="1:15" ht="22.5" customHeight="1" outlineLevel="1" x14ac:dyDescent="0.25">
      <c r="A118" s="84"/>
      <c r="B118" s="85"/>
      <c r="C118" s="89" t="s">
        <v>167</v>
      </c>
      <c r="D118" s="4"/>
      <c r="E118" s="4"/>
      <c r="F118" s="4"/>
      <c r="G118" s="4"/>
      <c r="H118" s="4"/>
      <c r="I118" s="86"/>
      <c r="J118" s="86"/>
      <c r="K118" s="86"/>
      <c r="L118" s="86"/>
      <c r="M118" s="86"/>
      <c r="N118" s="86"/>
      <c r="O118" s="86"/>
    </row>
    <row r="119" spans="1:15" ht="22.5" customHeight="1" outlineLevel="1" x14ac:dyDescent="0.25">
      <c r="A119" s="84"/>
      <c r="B119" s="85"/>
      <c r="C119" s="90" t="s">
        <v>168</v>
      </c>
      <c r="D119" s="91"/>
      <c r="E119" s="86"/>
      <c r="F119" s="86"/>
      <c r="G119" s="86"/>
      <c r="H119" s="86"/>
      <c r="I119" s="86"/>
      <c r="J119" s="86"/>
      <c r="K119" s="86"/>
      <c r="L119" s="86"/>
      <c r="M119" s="86"/>
      <c r="N119" s="86"/>
      <c r="O119" s="86"/>
    </row>
    <row r="120" spans="1:15" ht="22.5" customHeight="1" outlineLevel="1" x14ac:dyDescent="0.25">
      <c r="A120" s="84"/>
      <c r="B120" s="85"/>
      <c r="C120" s="90"/>
      <c r="D120" s="91"/>
      <c r="E120" s="86"/>
      <c r="F120" s="86"/>
      <c r="G120" s="86"/>
      <c r="H120" s="86"/>
      <c r="I120" s="86"/>
      <c r="J120" s="86"/>
      <c r="K120" s="86"/>
      <c r="L120" s="86"/>
      <c r="M120" s="86"/>
      <c r="N120" s="86"/>
      <c r="O120" s="86"/>
    </row>
    <row r="121" spans="1:15" ht="22.5" customHeight="1" outlineLevel="1" x14ac:dyDescent="0.25">
      <c r="A121" s="84"/>
      <c r="B121" s="85"/>
      <c r="C121" s="92" t="s">
        <v>169</v>
      </c>
      <c r="D121" s="93" t="s">
        <v>170</v>
      </c>
      <c r="E121" s="94"/>
      <c r="F121" s="94"/>
      <c r="G121" s="94"/>
      <c r="H121" s="86"/>
      <c r="I121" s="86"/>
      <c r="J121" s="86"/>
      <c r="K121" s="86"/>
      <c r="L121" s="86"/>
      <c r="M121" s="86"/>
      <c r="N121" s="86"/>
      <c r="O121" s="86"/>
    </row>
    <row r="122" spans="1:15" ht="22.5" customHeight="1" outlineLevel="1" x14ac:dyDescent="0.25">
      <c r="A122" s="84"/>
      <c r="B122" s="85"/>
      <c r="C122" s="95">
        <v>1</v>
      </c>
      <c r="D122" s="96" t="s">
        <v>171</v>
      </c>
      <c r="E122" s="4"/>
      <c r="F122" s="4"/>
      <c r="G122" s="4"/>
      <c r="H122" s="4"/>
      <c r="I122" s="86"/>
      <c r="J122" s="86"/>
      <c r="K122" s="86"/>
      <c r="L122" s="86"/>
      <c r="M122" s="86"/>
      <c r="N122" s="86"/>
      <c r="O122" s="86"/>
    </row>
    <row r="123" spans="1:15" ht="22.5" customHeight="1" outlineLevel="1" x14ac:dyDescent="0.25">
      <c r="A123" s="84"/>
      <c r="B123" s="85"/>
      <c r="C123" s="95">
        <v>2</v>
      </c>
      <c r="D123" s="96" t="s">
        <v>172</v>
      </c>
      <c r="E123" s="4"/>
      <c r="F123" s="4"/>
      <c r="G123" s="4"/>
      <c r="H123" s="4"/>
      <c r="I123" s="86"/>
      <c r="J123" s="86"/>
      <c r="K123" s="86"/>
      <c r="L123" s="86"/>
      <c r="M123" s="86"/>
      <c r="N123" s="86"/>
      <c r="O123" s="86"/>
    </row>
    <row r="124" spans="1:15" ht="22.5" customHeight="1" outlineLevel="1" x14ac:dyDescent="0.25">
      <c r="A124" s="84"/>
      <c r="B124" s="85"/>
      <c r="C124" s="95">
        <v>3</v>
      </c>
      <c r="D124" s="96" t="s">
        <v>173</v>
      </c>
      <c r="E124" s="4"/>
      <c r="F124" s="4"/>
      <c r="G124" s="4"/>
      <c r="H124" s="4"/>
      <c r="I124" s="86"/>
      <c r="J124" s="86"/>
      <c r="K124" s="86"/>
      <c r="L124" s="86"/>
      <c r="M124" s="86"/>
      <c r="N124" s="86"/>
      <c r="O124" s="86"/>
    </row>
    <row r="125" spans="1:15" ht="22.5" customHeight="1" outlineLevel="1" x14ac:dyDescent="0.25">
      <c r="A125" s="84"/>
      <c r="B125" s="85"/>
      <c r="C125" s="95">
        <v>4</v>
      </c>
      <c r="D125" s="96" t="s">
        <v>174</v>
      </c>
      <c r="E125" s="4"/>
      <c r="F125" s="4"/>
      <c r="G125" s="4"/>
      <c r="H125" s="4"/>
      <c r="I125" s="86"/>
      <c r="J125" s="86"/>
      <c r="K125" s="86"/>
      <c r="L125" s="86"/>
      <c r="M125" s="86"/>
      <c r="N125" s="86"/>
      <c r="O125" s="86"/>
    </row>
    <row r="126" spans="1:15" ht="22.5" customHeight="1" outlineLevel="1" x14ac:dyDescent="0.25">
      <c r="A126" s="84"/>
      <c r="B126" s="85"/>
      <c r="C126" s="90"/>
      <c r="D126" s="90"/>
      <c r="E126" s="86"/>
      <c r="F126" s="86"/>
      <c r="G126" s="86"/>
      <c r="H126" s="86"/>
      <c r="I126" s="86"/>
      <c r="J126" s="86"/>
      <c r="K126" s="86"/>
      <c r="L126" s="86"/>
      <c r="M126" s="86"/>
      <c r="N126" s="86"/>
      <c r="O126" s="86"/>
    </row>
    <row r="127" spans="1:15" ht="22.5" customHeight="1" outlineLevel="1" x14ac:dyDescent="0.25">
      <c r="A127" s="84"/>
      <c r="B127" s="85"/>
      <c r="C127" s="96" t="s">
        <v>175</v>
      </c>
      <c r="D127" s="4"/>
      <c r="E127" s="4"/>
      <c r="F127" s="4"/>
      <c r="G127" s="4"/>
      <c r="H127" s="86"/>
      <c r="I127" s="86"/>
      <c r="J127" s="86"/>
      <c r="K127" s="86"/>
      <c r="L127" s="86"/>
      <c r="M127" s="86"/>
      <c r="N127" s="86"/>
      <c r="O127" s="86"/>
    </row>
    <row r="128" spans="1:15" ht="22.5" customHeight="1" outlineLevel="1" x14ac:dyDescent="0.25">
      <c r="A128" s="84"/>
      <c r="B128" s="85"/>
      <c r="C128" s="90"/>
      <c r="D128" s="91"/>
      <c r="E128" s="86"/>
      <c r="F128" s="86"/>
      <c r="G128" s="86"/>
      <c r="H128" s="86"/>
      <c r="I128" s="86"/>
      <c r="J128" s="86"/>
      <c r="K128" s="86"/>
      <c r="L128" s="86"/>
      <c r="M128" s="86"/>
      <c r="N128" s="86"/>
      <c r="O128" s="86"/>
    </row>
    <row r="129" spans="1:15" ht="22.5" customHeight="1" outlineLevel="1" x14ac:dyDescent="0.25">
      <c r="A129" s="84"/>
      <c r="B129" s="85"/>
      <c r="C129" s="86"/>
      <c r="D129" s="86"/>
      <c r="E129" s="86"/>
      <c r="F129" s="86"/>
      <c r="G129" s="86"/>
      <c r="H129" s="86"/>
      <c r="I129" s="86"/>
      <c r="J129" s="86"/>
      <c r="K129" s="86"/>
      <c r="L129" s="86"/>
      <c r="M129" s="86"/>
      <c r="N129" s="86"/>
      <c r="O129" s="86"/>
    </row>
    <row r="130" spans="1:15" ht="22.5" customHeight="1" x14ac:dyDescent="0.25">
      <c r="A130" s="84"/>
      <c r="B130" s="85"/>
      <c r="C130" s="86"/>
      <c r="D130" s="86"/>
      <c r="E130" s="86"/>
      <c r="F130" s="86"/>
      <c r="G130" s="86"/>
      <c r="H130" s="86"/>
      <c r="I130" s="86"/>
      <c r="J130" s="86"/>
      <c r="K130" s="86"/>
      <c r="L130" s="86"/>
      <c r="M130" s="86"/>
      <c r="N130" s="86"/>
      <c r="O130" s="86"/>
    </row>
    <row r="131" spans="1:15" ht="22.5" customHeight="1" x14ac:dyDescent="0.25">
      <c r="A131" s="84"/>
      <c r="B131" s="85"/>
      <c r="C131" s="86"/>
      <c r="D131" s="86"/>
      <c r="E131" s="86"/>
      <c r="F131" s="86"/>
      <c r="G131" s="86"/>
      <c r="H131" s="86"/>
      <c r="I131" s="86"/>
      <c r="J131" s="86"/>
      <c r="K131" s="86"/>
      <c r="L131" s="86"/>
      <c r="M131" s="86"/>
      <c r="N131" s="86"/>
      <c r="O131" s="86"/>
    </row>
    <row r="132" spans="1:15" ht="22.5" customHeight="1" x14ac:dyDescent="0.25">
      <c r="A132" s="84"/>
      <c r="B132" s="85"/>
      <c r="C132" s="81" t="s">
        <v>176</v>
      </c>
      <c r="D132" s="4"/>
      <c r="E132" s="4"/>
      <c r="F132" s="4"/>
      <c r="G132" s="4"/>
      <c r="H132" s="4"/>
      <c r="I132" s="86"/>
      <c r="J132" s="86"/>
      <c r="K132" s="86"/>
      <c r="L132" s="86"/>
      <c r="M132" s="86"/>
      <c r="N132" s="86"/>
      <c r="O132" s="86"/>
    </row>
    <row r="133" spans="1:15" ht="22.5" customHeight="1" x14ac:dyDescent="0.25">
      <c r="A133" s="84"/>
      <c r="B133" s="85"/>
      <c r="C133" s="83" t="s">
        <v>164</v>
      </c>
      <c r="D133" s="4"/>
      <c r="E133" s="4"/>
      <c r="F133" s="4"/>
      <c r="G133" s="4"/>
      <c r="H133" s="4"/>
      <c r="I133" s="86"/>
      <c r="J133" s="86"/>
      <c r="K133" s="86"/>
      <c r="L133" s="86"/>
      <c r="M133" s="86"/>
      <c r="N133" s="86"/>
      <c r="O133" s="86"/>
    </row>
    <row r="134" spans="1:15" ht="22.5" customHeight="1" outlineLevel="1" x14ac:dyDescent="0.25">
      <c r="A134" s="84"/>
      <c r="B134" s="85"/>
      <c r="C134" s="86"/>
      <c r="D134" s="86"/>
      <c r="E134" s="86"/>
      <c r="F134" s="86"/>
      <c r="G134" s="86"/>
      <c r="H134" s="86"/>
      <c r="I134" s="86"/>
      <c r="J134" s="86"/>
      <c r="K134" s="86"/>
      <c r="L134" s="86"/>
      <c r="M134" s="86"/>
      <c r="N134" s="86"/>
      <c r="O134" s="86"/>
    </row>
    <row r="135" spans="1:15" ht="22.5" customHeight="1" outlineLevel="1" x14ac:dyDescent="0.25">
      <c r="A135" s="84"/>
      <c r="B135" s="85"/>
      <c r="C135" s="97" t="s">
        <v>177</v>
      </c>
      <c r="D135" s="4"/>
      <c r="E135" s="98" t="s">
        <v>169</v>
      </c>
      <c r="F135" s="98" t="s">
        <v>178</v>
      </c>
      <c r="G135" s="99"/>
      <c r="H135" s="86"/>
      <c r="I135" s="86"/>
      <c r="J135" s="86"/>
      <c r="K135" s="86"/>
      <c r="L135" s="86"/>
      <c r="M135" s="86"/>
      <c r="N135" s="86"/>
      <c r="O135" s="86"/>
    </row>
    <row r="136" spans="1:15" ht="22.5" customHeight="1" outlineLevel="1" x14ac:dyDescent="0.25">
      <c r="A136" s="84"/>
      <c r="B136" s="85"/>
      <c r="C136" s="100" t="s">
        <v>179</v>
      </c>
      <c r="D136" s="4"/>
      <c r="E136" s="101">
        <f>SUM(H67:H81)</f>
        <v>26</v>
      </c>
      <c r="F136" s="102">
        <f>(E136 / 60) * 100</f>
        <v>43.333333333333336</v>
      </c>
      <c r="G136" s="103"/>
      <c r="H136" s="86"/>
      <c r="I136" s="86"/>
      <c r="J136" s="86"/>
      <c r="K136" s="86"/>
      <c r="L136" s="86"/>
      <c r="M136" s="86"/>
      <c r="N136" s="86"/>
      <c r="O136" s="86"/>
    </row>
    <row r="137" spans="1:15" ht="22.5" customHeight="1" outlineLevel="1" x14ac:dyDescent="0.25">
      <c r="A137" s="84"/>
      <c r="B137" s="85"/>
      <c r="C137" s="100" t="s">
        <v>127</v>
      </c>
      <c r="D137" s="4"/>
      <c r="E137" s="101">
        <f>SUM(H85:H88)</f>
        <v>6</v>
      </c>
      <c r="F137" s="90">
        <f t="shared" ref="F137:F140" si="0">(E137 / 16) * 100</f>
        <v>37.5</v>
      </c>
      <c r="G137" s="103"/>
      <c r="H137" s="86"/>
      <c r="I137" s="86"/>
      <c r="J137" s="86"/>
      <c r="K137" s="86"/>
      <c r="L137" s="86"/>
      <c r="M137" s="86"/>
      <c r="N137" s="86"/>
      <c r="O137" s="86"/>
    </row>
    <row r="138" spans="1:15" ht="22.5" customHeight="1" outlineLevel="1" x14ac:dyDescent="0.25">
      <c r="A138" s="84"/>
      <c r="B138" s="85"/>
      <c r="C138" s="100" t="s">
        <v>136</v>
      </c>
      <c r="D138" s="4"/>
      <c r="E138" s="101">
        <f>SUM(H92:H95)</f>
        <v>4</v>
      </c>
      <c r="F138" s="90">
        <f t="shared" si="0"/>
        <v>25</v>
      </c>
      <c r="G138" s="103"/>
      <c r="H138" s="86"/>
      <c r="I138" s="86"/>
      <c r="J138" s="86"/>
      <c r="K138" s="86"/>
      <c r="L138" s="86"/>
      <c r="M138" s="86"/>
      <c r="N138" s="86"/>
      <c r="O138" s="86"/>
    </row>
    <row r="139" spans="1:15" ht="22.5" customHeight="1" outlineLevel="1" x14ac:dyDescent="0.25">
      <c r="A139" s="84"/>
      <c r="B139" s="85"/>
      <c r="C139" s="100" t="s">
        <v>145</v>
      </c>
      <c r="D139" s="4"/>
      <c r="E139" s="101">
        <f>SUM(H99:H102)</f>
        <v>5</v>
      </c>
      <c r="F139" s="90">
        <f t="shared" si="0"/>
        <v>31.25</v>
      </c>
      <c r="G139" s="103"/>
      <c r="H139" s="86"/>
      <c r="I139" s="86"/>
      <c r="J139" s="86"/>
      <c r="K139" s="86"/>
      <c r="L139" s="86"/>
      <c r="M139" s="86"/>
      <c r="N139" s="86"/>
      <c r="O139" s="86"/>
    </row>
    <row r="140" spans="1:15" ht="22.5" customHeight="1" outlineLevel="1" x14ac:dyDescent="0.25">
      <c r="A140" s="84"/>
      <c r="B140" s="85"/>
      <c r="C140" s="100" t="s">
        <v>154</v>
      </c>
      <c r="D140" s="4"/>
      <c r="E140" s="101">
        <f>SUM(H106:H109)</f>
        <v>11</v>
      </c>
      <c r="F140" s="90">
        <f t="shared" si="0"/>
        <v>68.75</v>
      </c>
      <c r="G140" s="103"/>
      <c r="H140" s="86"/>
      <c r="I140" s="86"/>
      <c r="J140" s="86"/>
      <c r="K140" s="86"/>
      <c r="L140" s="86"/>
      <c r="M140" s="86"/>
      <c r="N140" s="86"/>
      <c r="O140" s="86"/>
    </row>
    <row r="141" spans="1:15" ht="22.5" customHeight="1" outlineLevel="1" x14ac:dyDescent="0.25">
      <c r="A141" s="84"/>
      <c r="B141" s="85"/>
      <c r="C141" s="104" t="s">
        <v>180</v>
      </c>
      <c r="D141" s="4"/>
      <c r="E141" s="105">
        <f t="shared" ref="E141:F141" si="1">AVERAGE(E136:E140)</f>
        <v>10.4</v>
      </c>
      <c r="F141" s="106">
        <f t="shared" si="1"/>
        <v>41.166666666666671</v>
      </c>
      <c r="G141" s="86"/>
      <c r="H141" s="86"/>
      <c r="I141" s="86"/>
      <c r="J141" s="86"/>
      <c r="K141" s="86"/>
      <c r="L141" s="86"/>
      <c r="M141" s="86"/>
      <c r="N141" s="86"/>
      <c r="O141" s="86"/>
    </row>
    <row r="142" spans="1:15" ht="22.5" customHeight="1" outlineLevel="1" x14ac:dyDescent="0.25">
      <c r="A142" s="84"/>
      <c r="B142" s="85"/>
      <c r="C142" s="86"/>
      <c r="D142" s="86"/>
      <c r="E142" s="86"/>
      <c r="F142" s="86"/>
      <c r="G142" s="86"/>
      <c r="H142" s="86"/>
      <c r="I142" s="86"/>
      <c r="J142" s="86"/>
      <c r="K142" s="86"/>
      <c r="L142" s="86"/>
      <c r="M142" s="86"/>
      <c r="N142" s="86"/>
      <c r="O142" s="86"/>
    </row>
    <row r="143" spans="1:15" ht="22.5" customHeight="1" outlineLevel="1" x14ac:dyDescent="0.25">
      <c r="A143" s="84"/>
      <c r="B143" s="85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  <c r="N143" s="86"/>
      <c r="O143" s="86"/>
    </row>
    <row r="144" spans="1:15" ht="22.5" customHeight="1" x14ac:dyDescent="0.25">
      <c r="A144" s="84"/>
      <c r="B144" s="85"/>
      <c r="C144" s="86"/>
      <c r="D144" s="86"/>
      <c r="E144" s="86"/>
      <c r="F144" s="86"/>
      <c r="G144" s="86"/>
      <c r="H144" s="86"/>
      <c r="I144" s="86"/>
      <c r="J144" s="86"/>
      <c r="K144" s="86"/>
      <c r="L144" s="86"/>
      <c r="M144" s="86"/>
      <c r="N144" s="86"/>
      <c r="O144" s="86"/>
    </row>
    <row r="145" spans="1:15" ht="22.5" customHeight="1" x14ac:dyDescent="0.25">
      <c r="A145" s="84"/>
      <c r="B145" s="85"/>
      <c r="C145" s="86"/>
      <c r="D145" s="86"/>
      <c r="E145" s="86"/>
      <c r="F145" s="86"/>
      <c r="G145" s="86"/>
      <c r="H145" s="86"/>
      <c r="I145" s="86"/>
      <c r="J145" s="86"/>
      <c r="K145" s="86"/>
      <c r="L145" s="86"/>
      <c r="M145" s="86"/>
      <c r="N145" s="86"/>
      <c r="O145" s="86"/>
    </row>
  </sheetData>
  <mergeCells count="231">
    <mergeCell ref="C137:D137"/>
    <mergeCell ref="C138:D138"/>
    <mergeCell ref="C139:D139"/>
    <mergeCell ref="C140:D140"/>
    <mergeCell ref="C141:D141"/>
    <mergeCell ref="D125:H125"/>
    <mergeCell ref="C127:G127"/>
    <mergeCell ref="C132:H132"/>
    <mergeCell ref="C133:H133"/>
    <mergeCell ref="C135:D135"/>
    <mergeCell ref="C136:D136"/>
    <mergeCell ref="C116:H117"/>
    <mergeCell ref="C118:H118"/>
    <mergeCell ref="D121:G121"/>
    <mergeCell ref="D122:H122"/>
    <mergeCell ref="D123:H123"/>
    <mergeCell ref="D124:H124"/>
    <mergeCell ref="C109:G109"/>
    <mergeCell ref="I109:N109"/>
    <mergeCell ref="F110:G110"/>
    <mergeCell ref="C112:H112"/>
    <mergeCell ref="C113:H113"/>
    <mergeCell ref="C115:H115"/>
    <mergeCell ref="I102:N102"/>
    <mergeCell ref="F103:G103"/>
    <mergeCell ref="I105:N105"/>
    <mergeCell ref="A106:B109"/>
    <mergeCell ref="C106:G106"/>
    <mergeCell ref="I106:N106"/>
    <mergeCell ref="C107:G107"/>
    <mergeCell ref="I107:N107"/>
    <mergeCell ref="C108:G108"/>
    <mergeCell ref="I108:N108"/>
    <mergeCell ref="F96:G96"/>
    <mergeCell ref="I98:N98"/>
    <mergeCell ref="A99:B102"/>
    <mergeCell ref="C99:G99"/>
    <mergeCell ref="I99:N99"/>
    <mergeCell ref="C100:G100"/>
    <mergeCell ref="I100:N100"/>
    <mergeCell ref="C101:G101"/>
    <mergeCell ref="I101:N101"/>
    <mergeCell ref="C102:G102"/>
    <mergeCell ref="I91:N91"/>
    <mergeCell ref="A92:B95"/>
    <mergeCell ref="C92:G92"/>
    <mergeCell ref="I92:N92"/>
    <mergeCell ref="C93:G93"/>
    <mergeCell ref="I93:N93"/>
    <mergeCell ref="C94:G94"/>
    <mergeCell ref="I94:N94"/>
    <mergeCell ref="C95:G95"/>
    <mergeCell ref="I95:N95"/>
    <mergeCell ref="A85:B88"/>
    <mergeCell ref="C85:G85"/>
    <mergeCell ref="I85:N85"/>
    <mergeCell ref="C86:G86"/>
    <mergeCell ref="I86:N86"/>
    <mergeCell ref="C87:G87"/>
    <mergeCell ref="I87:N87"/>
    <mergeCell ref="C88:G88"/>
    <mergeCell ref="I88:N88"/>
    <mergeCell ref="C80:G80"/>
    <mergeCell ref="I80:N80"/>
    <mergeCell ref="C81:G81"/>
    <mergeCell ref="I81:N81"/>
    <mergeCell ref="F82:G82"/>
    <mergeCell ref="I84:N84"/>
    <mergeCell ref="C77:G77"/>
    <mergeCell ref="I77:N77"/>
    <mergeCell ref="C78:G78"/>
    <mergeCell ref="I78:N78"/>
    <mergeCell ref="C79:G79"/>
    <mergeCell ref="I79:N79"/>
    <mergeCell ref="C74:G74"/>
    <mergeCell ref="I74:N74"/>
    <mergeCell ref="C75:G75"/>
    <mergeCell ref="I75:N75"/>
    <mergeCell ref="C76:G76"/>
    <mergeCell ref="I76:N76"/>
    <mergeCell ref="C71:G71"/>
    <mergeCell ref="I71:N71"/>
    <mergeCell ref="C72:G72"/>
    <mergeCell ref="I72:N72"/>
    <mergeCell ref="C73:G73"/>
    <mergeCell ref="I73:N73"/>
    <mergeCell ref="I66:N66"/>
    <mergeCell ref="A67:B81"/>
    <mergeCell ref="C67:G67"/>
    <mergeCell ref="I67:N67"/>
    <mergeCell ref="C68:G68"/>
    <mergeCell ref="I68:N68"/>
    <mergeCell ref="C69:G69"/>
    <mergeCell ref="I69:N69"/>
    <mergeCell ref="C70:G70"/>
    <mergeCell ref="I70:N70"/>
    <mergeCell ref="C59:G59"/>
    <mergeCell ref="H59:I59"/>
    <mergeCell ref="J59:N59"/>
    <mergeCell ref="A60:O60"/>
    <mergeCell ref="A61:N61"/>
    <mergeCell ref="A63:N63"/>
    <mergeCell ref="C57:G57"/>
    <mergeCell ref="H57:I57"/>
    <mergeCell ref="J57:N57"/>
    <mergeCell ref="C58:G58"/>
    <mergeCell ref="H58:I58"/>
    <mergeCell ref="J58:N58"/>
    <mergeCell ref="C55:G55"/>
    <mergeCell ref="H55:I55"/>
    <mergeCell ref="J55:N55"/>
    <mergeCell ref="C56:G56"/>
    <mergeCell ref="H56:I56"/>
    <mergeCell ref="J56:N56"/>
    <mergeCell ref="A52:B59"/>
    <mergeCell ref="C52:G52"/>
    <mergeCell ref="H52:I52"/>
    <mergeCell ref="J52:N52"/>
    <mergeCell ref="C53:G53"/>
    <mergeCell ref="H53:I53"/>
    <mergeCell ref="J53:N53"/>
    <mergeCell ref="C54:G54"/>
    <mergeCell ref="H54:I54"/>
    <mergeCell ref="J54:N54"/>
    <mergeCell ref="C49:G49"/>
    <mergeCell ref="H49:I49"/>
    <mergeCell ref="J49:N49"/>
    <mergeCell ref="C51:G51"/>
    <mergeCell ref="H51:I51"/>
    <mergeCell ref="J51:N51"/>
    <mergeCell ref="C47:G47"/>
    <mergeCell ref="H47:I47"/>
    <mergeCell ref="J47:N47"/>
    <mergeCell ref="C48:G48"/>
    <mergeCell ref="H48:I48"/>
    <mergeCell ref="J48:N48"/>
    <mergeCell ref="C45:G45"/>
    <mergeCell ref="H45:I45"/>
    <mergeCell ref="J45:N45"/>
    <mergeCell ref="C46:G46"/>
    <mergeCell ref="H46:I46"/>
    <mergeCell ref="J46:N46"/>
    <mergeCell ref="C43:G43"/>
    <mergeCell ref="H43:I43"/>
    <mergeCell ref="J43:N43"/>
    <mergeCell ref="C44:G44"/>
    <mergeCell ref="H44:I44"/>
    <mergeCell ref="J44:N44"/>
    <mergeCell ref="C41:G41"/>
    <mergeCell ref="H41:I41"/>
    <mergeCell ref="J41:N41"/>
    <mergeCell ref="C42:G42"/>
    <mergeCell ref="H42:I42"/>
    <mergeCell ref="J42:N42"/>
    <mergeCell ref="C39:G39"/>
    <mergeCell ref="H39:I39"/>
    <mergeCell ref="J39:N39"/>
    <mergeCell ref="C40:G40"/>
    <mergeCell ref="H40:I40"/>
    <mergeCell ref="J40:N40"/>
    <mergeCell ref="C36:G36"/>
    <mergeCell ref="H36:I36"/>
    <mergeCell ref="J36:N36"/>
    <mergeCell ref="A37:B49"/>
    <mergeCell ref="C37:G37"/>
    <mergeCell ref="H37:I37"/>
    <mergeCell ref="J37:N37"/>
    <mergeCell ref="C38:G38"/>
    <mergeCell ref="H38:I38"/>
    <mergeCell ref="J38:N38"/>
    <mergeCell ref="C32:G32"/>
    <mergeCell ref="H32:N32"/>
    <mergeCell ref="A33:B33"/>
    <mergeCell ref="C33:G33"/>
    <mergeCell ref="H33:N33"/>
    <mergeCell ref="A34:N34"/>
    <mergeCell ref="A28:B28"/>
    <mergeCell ref="C28:G28"/>
    <mergeCell ref="H28:N28"/>
    <mergeCell ref="A29:B32"/>
    <mergeCell ref="C29:G29"/>
    <mergeCell ref="H29:N29"/>
    <mergeCell ref="C30:G30"/>
    <mergeCell ref="H30:N30"/>
    <mergeCell ref="C31:G31"/>
    <mergeCell ref="H31:N31"/>
    <mergeCell ref="C25:G25"/>
    <mergeCell ref="H25:J25"/>
    <mergeCell ref="K25:N25"/>
    <mergeCell ref="C26:G26"/>
    <mergeCell ref="H26:N26"/>
    <mergeCell ref="C27:G27"/>
    <mergeCell ref="H27:N27"/>
    <mergeCell ref="A21:B27"/>
    <mergeCell ref="C21:G21"/>
    <mergeCell ref="H21:N21"/>
    <mergeCell ref="C22:G22"/>
    <mergeCell ref="H22:N22"/>
    <mergeCell ref="C23:G23"/>
    <mergeCell ref="H23:N23"/>
    <mergeCell ref="C24:G24"/>
    <mergeCell ref="H24:J24"/>
    <mergeCell ref="L24:N24"/>
    <mergeCell ref="A17:B17"/>
    <mergeCell ref="C17:G17"/>
    <mergeCell ref="H17:I17"/>
    <mergeCell ref="J17:N17"/>
    <mergeCell ref="A19:N19"/>
    <mergeCell ref="A20:B20"/>
    <mergeCell ref="A15:B15"/>
    <mergeCell ref="C15:G15"/>
    <mergeCell ref="H15:I15"/>
    <mergeCell ref="J15:N15"/>
    <mergeCell ref="A16:B16"/>
    <mergeCell ref="C16:G16"/>
    <mergeCell ref="H16:I16"/>
    <mergeCell ref="J16:N16"/>
    <mergeCell ref="A11:C11"/>
    <mergeCell ref="A12:N12"/>
    <mergeCell ref="A14:B14"/>
    <mergeCell ref="C14:G14"/>
    <mergeCell ref="H14:I14"/>
    <mergeCell ref="J14:N14"/>
    <mergeCell ref="A3:C8"/>
    <mergeCell ref="E3:N6"/>
    <mergeCell ref="E7:E8"/>
    <mergeCell ref="F7:G8"/>
    <mergeCell ref="I7:I8"/>
    <mergeCell ref="J7:J8"/>
    <mergeCell ref="L7:L8"/>
    <mergeCell ref="M7:N8"/>
  </mergeCells>
  <dataValidations count="3">
    <dataValidation type="list" allowBlank="1" showErrorMessage="1" sqref="H25" xr:uid="{846737A1-72F4-46CB-8EDC-C7F5B79D2B6C}">
      <formula1>"MVP,Pós-MVP,Tração,Pré-captação,Escala"</formula1>
    </dataValidation>
    <dataValidation type="list" allowBlank="1" showErrorMessage="1" sqref="H24" xr:uid="{541D1DFC-4D51-487A-8D9C-C66F33BBC518}">
      <formula1>"Recorrente,Pontual,Licenciamento,Freemium,Comissão,Pay-per-use,SaaS (Software as a Service),Assinatura,Outros"</formula1>
    </dataValidation>
    <dataValidation type="list" allowBlank="1" showErrorMessage="1" sqref="M7" xr:uid="{BF8381A4-73F1-4A50-A2E8-FD00E29E2C2B}">
      <formula1>"Finalizado,Em produção,Pendente"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Vânia Cristina Bordin Freitas</dc:creator>
  <cp:lastModifiedBy>Vânia Cristina Bordin Freitas</cp:lastModifiedBy>
  <dcterms:created xsi:type="dcterms:W3CDTF">2025-12-19T21:00:15Z</dcterms:created>
  <dcterms:modified xsi:type="dcterms:W3CDTF">2025-12-19T21:00:59Z</dcterms:modified>
</cp:coreProperties>
</file>