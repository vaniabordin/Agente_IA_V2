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8_{509B3A5F-F36A-443B-AC82-5E1DD44986D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ronograma" sheetId="1" r:id="rId1"/>
    <sheet name="1.0 Calendário " sheetId="2" r:id="rId2"/>
    <sheet name="2.0 Planejamento de Mídia" sheetId="3" r:id="rId3"/>
    <sheet name="2.1 Diretrizes Produção " sheetId="4" r:id="rId4"/>
    <sheet name="3.0 Estrutura LPs" sheetId="5" r:id="rId5"/>
    <sheet name="3.1 Checklist LPs" sheetId="6" r:id="rId6"/>
    <sheet name="4.0 Mapa Gatilhos Conversão" sheetId="7" r:id="rId7"/>
    <sheet name="4.1 Jornada Pós-Lead" sheetId="8" r:id="rId8"/>
    <sheet name="5.0 Pipeline Comercial" sheetId="9" r:id="rId9"/>
    <sheet name="5.1 Mapa Automações Comerciais" sheetId="10" r:id="rId10"/>
    <sheet name="5.2 Integração CRM + MKT" sheetId="11" r:id="rId11"/>
  </sheets>
  <calcPr calcId="191029"/>
</workbook>
</file>

<file path=xl/calcChain.xml><?xml version="1.0" encoding="utf-8"?>
<calcChain xmlns="http://schemas.openxmlformats.org/spreadsheetml/2006/main">
  <c r="Q77" i="3" l="1"/>
  <c r="O77" i="3"/>
  <c r="N77" i="3"/>
  <c r="M77" i="3"/>
  <c r="L77" i="3"/>
  <c r="K77" i="3"/>
  <c r="F77" i="3"/>
  <c r="U75" i="3"/>
  <c r="R75" i="3"/>
  <c r="Q75" i="3"/>
  <c r="P75" i="3"/>
  <c r="O75" i="3"/>
  <c r="N75" i="3"/>
  <c r="M75" i="3"/>
  <c r="L75" i="3"/>
  <c r="K75" i="3"/>
  <c r="S75" i="3" s="1"/>
  <c r="J75" i="3"/>
  <c r="I75" i="3"/>
  <c r="H75" i="3"/>
  <c r="G75" i="3"/>
  <c r="F75" i="3"/>
  <c r="E75" i="3"/>
  <c r="R68" i="3"/>
  <c r="Q68" i="3"/>
  <c r="P68" i="3"/>
  <c r="O68" i="3"/>
  <c r="N68" i="3"/>
  <c r="M68" i="3"/>
  <c r="L68" i="3"/>
  <c r="K68" i="3"/>
  <c r="S68" i="3" s="1"/>
  <c r="J68" i="3"/>
  <c r="I68" i="3"/>
  <c r="H68" i="3"/>
  <c r="G68" i="3"/>
  <c r="F68" i="3"/>
  <c r="E68" i="3"/>
  <c r="U63" i="3"/>
  <c r="U68" i="3" s="1"/>
  <c r="R61" i="3"/>
  <c r="Q61" i="3"/>
  <c r="P61" i="3"/>
  <c r="O61" i="3"/>
  <c r="N61" i="3"/>
  <c r="M61" i="3"/>
  <c r="L61" i="3"/>
  <c r="K61" i="3"/>
  <c r="J61" i="3"/>
  <c r="I61" i="3"/>
  <c r="H61" i="3"/>
  <c r="G61" i="3"/>
  <c r="S61" i="3" s="1"/>
  <c r="F61" i="3"/>
  <c r="E61" i="3"/>
  <c r="U57" i="3"/>
  <c r="U61" i="3" s="1"/>
  <c r="U56" i="3"/>
  <c r="R54" i="3"/>
  <c r="Q54" i="3"/>
  <c r="P54" i="3"/>
  <c r="O54" i="3"/>
  <c r="N54" i="3"/>
  <c r="M54" i="3"/>
  <c r="L54" i="3"/>
  <c r="K54" i="3"/>
  <c r="J54" i="3"/>
  <c r="I54" i="3"/>
  <c r="H54" i="3"/>
  <c r="G54" i="3"/>
  <c r="S54" i="3" s="1"/>
  <c r="F54" i="3"/>
  <c r="E54" i="3"/>
  <c r="U51" i="3"/>
  <c r="U50" i="3"/>
  <c r="U49" i="3"/>
  <c r="U54" i="3" s="1"/>
  <c r="R47" i="3"/>
  <c r="R77" i="3" s="1"/>
  <c r="Q47" i="3"/>
  <c r="P47" i="3"/>
  <c r="P77" i="3" s="1"/>
  <c r="O47" i="3"/>
  <c r="N47" i="3"/>
  <c r="M47" i="3"/>
  <c r="L47" i="3"/>
  <c r="K47" i="3"/>
  <c r="J47" i="3"/>
  <c r="J77" i="3" s="1"/>
  <c r="I47" i="3"/>
  <c r="I77" i="3" s="1"/>
  <c r="H47" i="3"/>
  <c r="H77" i="3" s="1"/>
  <c r="G47" i="3"/>
  <c r="G77" i="3" s="1"/>
  <c r="S77" i="3" s="1"/>
  <c r="F47" i="3"/>
  <c r="E47" i="3"/>
  <c r="U44" i="3"/>
  <c r="U43" i="3"/>
  <c r="U42" i="3"/>
  <c r="U47" i="3" s="1"/>
  <c r="D28" i="3"/>
  <c r="F26" i="3" s="1"/>
  <c r="F27" i="3"/>
  <c r="F25" i="3"/>
  <c r="F24" i="3"/>
  <c r="F23" i="3"/>
  <c r="F22" i="3"/>
  <c r="F21" i="3"/>
  <c r="F20" i="3"/>
  <c r="F19" i="3"/>
  <c r="F28" i="3" l="1"/>
  <c r="E77" i="3" s="1"/>
  <c r="S47" i="3"/>
</calcChain>
</file>

<file path=xl/sharedStrings.xml><?xml version="1.0" encoding="utf-8"?>
<sst xmlns="http://schemas.openxmlformats.org/spreadsheetml/2006/main" count="925" uniqueCount="665">
  <si>
    <t>Cronograma</t>
  </si>
  <si>
    <t>Q2 - Tração: Geração de tráfego e engajamento inicial</t>
  </si>
  <si>
    <r>
      <rPr>
        <b/>
        <sz val="10"/>
        <color rgb="FF666666"/>
        <rFont val="Arial"/>
      </rPr>
      <t xml:space="preserve">Objetivo do Quarter: </t>
    </r>
    <r>
      <rPr>
        <sz val="10"/>
        <color rgb="FF666666"/>
        <rFont val="Arial"/>
      </rPr>
      <t xml:space="preserve"> Implantar os canais básicos de aquisição e colocar a estratégia no mercado, com conteúdos, landing pages, automações, campanhas e CRM funcionando. Validar na prática as mensagens, os canais e os processos, analisando dados e otimizando resultados.</t>
    </r>
  </si>
  <si>
    <t>Semana</t>
  </si>
  <si>
    <t>Aula</t>
  </si>
  <si>
    <t>Objetivo</t>
  </si>
  <si>
    <t>Framework</t>
  </si>
  <si>
    <t>Calendário e Criativos: organizando sua produção de conteúdo</t>
  </si>
  <si>
    <t>Construir o calendário editorial e o briefing de peças (posts, e-mails, ads, etc.), garantindo alinhamento com persona, PUV e jornada.</t>
  </si>
  <si>
    <t>Template Calendário + Sugestão de Ferramentas de Gestão</t>
  </si>
  <si>
    <t>Planejamento de Mídia: escolhendo canais e orçamento</t>
  </si>
  <si>
    <t>Estruturar mídia paga e orgânica, definindo canais prioritários, segmentação, objetivos e investimento inicial.</t>
  </si>
  <si>
    <t xml:space="preserve">Template Planejamento de Mídia </t>
  </si>
  <si>
    <t>Landing Pages que Convertem: copy e estrutura</t>
  </si>
  <si>
    <t>Construir landing pages persuasivas, aplicando técnicas de copywriting e boas práticas de usabilidade focadas em conversão.</t>
  </si>
  <si>
    <t>Checklist de boas práticas + Template de Estrutura de LP (AIDA / PAS / 5 Seções-Chave) + Mini Framework de Copywriting</t>
  </si>
  <si>
    <t>Gatilhos de Conversão e Jornada Pós-Lead</t>
  </si>
  <si>
    <t>Mapear pontos de conversão (site, LPs, formulários) e estruturar a sequência inicial de relacionamento pós-cadastro (onboarding).</t>
  </si>
  <si>
    <t>Checklist de Gatilhos de Conversão</t>
  </si>
  <si>
    <t>CRM e Automação: primeiros passos</t>
  </si>
  <si>
    <t>Configurar pipeline de vendas, automações básicas e fluxos de e-mails para dar suporte à jornada do lead.</t>
  </si>
  <si>
    <t>Template de Pipeline Comercial + Mapa de Automações Simples + Checklist de Integração CRM + Mkt</t>
  </si>
  <si>
    <t>Setup Técnico: garantindo rastreio e integrações</t>
  </si>
  <si>
    <t>Implementar pixels, tagueamento, eventos no GA4 e integrações necessárias para medir corretamente os resultados das campanhas.</t>
  </si>
  <si>
    <t xml:space="preserve">Checklist Técnico + Mapa de Integrações </t>
  </si>
  <si>
    <t>Configuração de Ads: sua primeira campanha no ar</t>
  </si>
  <si>
    <t>Criar contas de anúncios, configurar campanhas em Google, Meta ou LinkedIn Ads (dependendo do canal priorizado no Q1)</t>
  </si>
  <si>
    <t>Checklist Pré-Publicação de Campanha</t>
  </si>
  <si>
    <t>Checklist de Execução e Publicação da Campanha</t>
  </si>
  <si>
    <t>Revisar criativos, públicos e rastreamento para colocar a primeira campanha no ar com segurança.</t>
  </si>
  <si>
    <t xml:space="preserve">Checklist de Publicação Completa + Template de Acompanhamento de Performance Inicial </t>
  </si>
  <si>
    <t>Engajamento e Retenção: nutrindo sua base</t>
  </si>
  <si>
    <t>Estruturar estratégias de remarketing, conteúdos de valor e ações para manter o público engajado e aumentar o LTV inicial.</t>
  </si>
  <si>
    <t>Checklist de Comunicação Contínua + Template de Campanha de Reativação / Fidelização.</t>
  </si>
  <si>
    <t>Testes A/B: otimizando sua performance</t>
  </si>
  <si>
    <t>Implementar testes simples (em anúncios, LPs ou criativos) para gerar aprendizado rápido e aumentar taxa de conversão.</t>
  </si>
  <si>
    <t>Template de Teste A/B + Checklist de Boas Práticas de Testes</t>
  </si>
  <si>
    <t>Métricas e Resultados: lendo os números certos</t>
  </si>
  <si>
    <t>Interpretar métricas essenciais (CAC, CPL, CTR, conversão) para tomar decisões baseadas em dados e otimizar campanhas.</t>
  </si>
  <si>
    <t>Dashboard Simplificado de KPIs + Framework de Análise e Aprendizado + Sugestão de ferramentas</t>
  </si>
  <si>
    <t xml:space="preserve">Aula de Encerramento </t>
  </si>
  <si>
    <t>Aprendizado e boas práticas.</t>
  </si>
  <si>
    <t>Roda de Aprendizado</t>
  </si>
  <si>
    <t>1.0 Calendário</t>
  </si>
  <si>
    <t>Startup:</t>
  </si>
  <si>
    <t>ClínicaTech (SaaS B2B)</t>
  </si>
  <si>
    <t>Fase:</t>
  </si>
  <si>
    <t>Q1</t>
  </si>
  <si>
    <t>Status:</t>
  </si>
  <si>
    <t>Finalizado</t>
  </si>
  <si>
    <t>Conteúdo</t>
  </si>
  <si>
    <t>Fase</t>
  </si>
  <si>
    <t>Detalhes</t>
  </si>
  <si>
    <t>Status</t>
  </si>
  <si>
    <t xml:space="preserve">Data </t>
  </si>
  <si>
    <t>Link da Tarefa</t>
  </si>
  <si>
    <t>Peça Conceito - Webinar</t>
  </si>
  <si>
    <t>Fundo Funil</t>
  </si>
  <si>
    <t>Página principal da campanha com CTA direto para iniciar o trial</t>
  </si>
  <si>
    <t>Planejado</t>
  </si>
  <si>
    <t>https://app.asana.com/1/1148641951326239/project/1211731077549144/task/1211731077549159</t>
  </si>
  <si>
    <t>Landing Page - Trial 15 dias</t>
  </si>
  <si>
    <t xml:space="preserve">Uma explicação melhor sobre como nossos projetos </t>
  </si>
  <si>
    <t>Em produção</t>
  </si>
  <si>
    <t>https://app.asana.com/1/1148641951326239/project/1211731077549144/task/1211731077549161</t>
  </si>
  <si>
    <t>E-mail Divulgação - Convite para o trial 15 dias</t>
  </si>
  <si>
    <t>Chamada direta: “Teste grátis por 15 dias”.</t>
  </si>
  <si>
    <t>https://app.asana.com/1/1148641951326239/project/1211731077549144/task/1211731077549186</t>
  </si>
  <si>
    <t>Fluxo de Automação - Nutrição do Lead</t>
  </si>
  <si>
    <t>Sequência de 3 e-mails: diferenciais, case de sucesso e lembrete upgrade</t>
  </si>
  <si>
    <t>https://app.asana.com/1/1148641951326239/project/1211731077549144/task/1211731077549178</t>
  </si>
  <si>
    <t>Pop up  Post Blog</t>
  </si>
  <si>
    <t>Pop-up em posts sobre gestão médica; ex. “Como escolher o software ideal”</t>
  </si>
  <si>
    <t>https://app.asana.com/1/1148641951326239/project/1211731077549144/task/1211731077549180</t>
  </si>
  <si>
    <t>Instagram Ads - Criativo Benefício Plataforma</t>
  </si>
  <si>
    <t>Destacar ganho de tempo e eficiência da ferramenta.</t>
  </si>
  <si>
    <t>https://app.asana.com/1/1148641951326239/project/1211731077549144/task/1211731077549163</t>
  </si>
  <si>
    <t>LinkedIn Ads - Case de sucesso</t>
  </si>
  <si>
    <t>Mini-case de clínica que reduziu custos usando o sistema.</t>
  </si>
  <si>
    <t>https://app.asana.com/1/1148641951326239/project/1211731077549144/task/1211731077549190</t>
  </si>
  <si>
    <t>YouTube Ads - Vídeo depoimento</t>
  </si>
  <si>
    <t>Médico cliente contando resultados com a ferramenta.</t>
  </si>
  <si>
    <t>https://app.asana.com/1/1148641951326239/project/1211731077549144/task/1211743350425436</t>
  </si>
  <si>
    <t>Remarketing Display - Reforço do trial</t>
  </si>
  <si>
    <t>Retargeting de visitantes da LP.</t>
  </si>
  <si>
    <t>https://app.asana.com/1/1148641951326239/project/1211731077549144/task/1211743350425438</t>
  </si>
  <si>
    <t xml:space="preserve">          Como Preencher</t>
  </si>
  <si>
    <t xml:space="preserve">                  ⬅️ Clique no sinal de + para visualizar o conteúdo</t>
  </si>
  <si>
    <r>
      <rPr>
        <sz val="10"/>
        <color rgb="FF666666"/>
        <rFont val="Arial"/>
      </rPr>
      <t xml:space="preserve">                  Este calendário serve para </t>
    </r>
    <r>
      <rPr>
        <b/>
        <sz val="10"/>
        <color rgb="FF666666"/>
        <rFont val="Arial"/>
      </rPr>
      <t>organizar todas as peças e ações da campanha</t>
    </r>
    <r>
      <rPr>
        <sz val="10"/>
        <color rgb="FF666666"/>
        <rFont val="Arial"/>
      </rPr>
      <t xml:space="preserve">, conectando conteúdo, funil e cronograma.
                  Use como ferramenta de </t>
    </r>
    <r>
      <rPr>
        <b/>
        <sz val="10"/>
        <color rgb="FF666666"/>
        <rFont val="Arial"/>
      </rPr>
      <t>planejamento e acompanhamento</t>
    </r>
    <r>
      <rPr>
        <sz val="10"/>
        <color rgb="FF666666"/>
        <rFont val="Arial"/>
      </rPr>
      <t xml:space="preserve"> do que está sendo criado, revisado e publicado.
                  Além de servir como histórico de todas as ações e produções ao longo do ano.</t>
    </r>
  </si>
  <si>
    <r>
      <rPr>
        <sz val="10"/>
        <color rgb="FF666666"/>
        <rFont val="Arial"/>
      </rPr>
      <t xml:space="preserve">                 </t>
    </r>
    <r>
      <rPr>
        <b/>
        <sz val="12"/>
        <color rgb="FF666666"/>
        <rFont val="Arial"/>
      </rPr>
      <t>Como preencher cada coluna: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</si>
  <si>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Conteúdo:</t>
    </r>
    <r>
      <rPr>
        <sz val="10"/>
        <color rgb="FF666666"/>
        <rFont val="Arial"/>
      </rPr>
      <t xml:space="preserve"> Nome da Campanha e peça → Exemplo: Landing Page - Trial 15 dias, E-mail Divilgação - trial 15 dias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</si>
  <si>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Fase:</t>
    </r>
    <r>
      <rPr>
        <sz val="10"/>
        <color rgb="FF666666"/>
        <rFont val="Arial"/>
      </rPr>
      <t xml:space="preserve"> Etapa do Funil: Topo, Meio ou Fundo → Defina com base no objetivo da peça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</si>
  <si>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Detalhes:</t>
    </r>
    <r>
      <rPr>
        <sz val="10"/>
        <color rgb="FF666666"/>
        <rFont val="Arial"/>
      </rPr>
      <t xml:space="preserve"> Descreva o foco da peça ou ideia central → Seja breve, mas claro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</si>
  <si>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Status:</t>
    </r>
    <r>
      <rPr>
        <sz val="10"/>
        <color rgb="FF666666"/>
        <rFont val="Arial"/>
      </rPr>
      <t xml:space="preserve"> Situação atual da tarefa 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</si>
  <si>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Data:</t>
    </r>
    <r>
      <rPr>
        <sz val="10"/>
        <color rgb="FF666666"/>
        <rFont val="Arial"/>
      </rPr>
      <t xml:space="preserve"> Data prevista de entrega ou publicação → Use para gerenciar prazos da equipe e alinhar com o roadmap de 90 dias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</si>
  <si>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Link da Tarefa:</t>
    </r>
    <r>
      <rPr>
        <sz val="10"/>
        <color rgb="FF666666"/>
        <rFont val="Arial"/>
      </rPr>
      <t xml:space="preserve"> Link da tarefa na ferramenta de gestão → Exemplo: Asana, Trello, ClickUp, Notion, Beefor etc. Serve pra centralizar execução</t>
    </r>
  </si>
  <si>
    <t xml:space="preserve">          Boas Práticas</t>
  </si>
  <si>
    <r>
      <rPr>
        <sz val="10"/>
        <color rgb="FF666666"/>
        <rFont val="Arial"/>
      </rPr>
      <t xml:space="preserve">                 Priorize </t>
    </r>
    <r>
      <rPr>
        <b/>
        <sz val="10"/>
        <color rgb="FF666666"/>
        <rFont val="Arial"/>
      </rPr>
      <t>o que está no funil mais crítico</t>
    </r>
    <r>
      <rPr>
        <sz val="10"/>
        <color rgb="FF666666"/>
        <rFont val="Arial"/>
      </rPr>
      <t xml:space="preserve"> (veja seu Diagrama de Estratégia e metas).</t>
    </r>
  </si>
  <si>
    <t xml:space="preserve">                 Mantenha uma reunião rápida semanal para revisar esse calendário.</t>
  </si>
  <si>
    <t>2.0 Planejamento de Mídia</t>
  </si>
  <si>
    <t>Q2</t>
  </si>
  <si>
    <t>Planejamento de Mídia - Distribuição Canais</t>
  </si>
  <si>
    <t>SHARE TOTAL</t>
  </si>
  <si>
    <t>VEÍCULOS</t>
  </si>
  <si>
    <t>ORÇAMENTO</t>
  </si>
  <si>
    <t>DISTRIBUIÇÃO</t>
  </si>
  <si>
    <t>Google Ads</t>
  </si>
  <si>
    <t>Meta Ads</t>
  </si>
  <si>
    <t>LinkedIn Ads</t>
  </si>
  <si>
    <t>YouTube Ads</t>
  </si>
  <si>
    <t>TOTAL</t>
  </si>
  <si>
    <t>1ª FASE</t>
  </si>
  <si>
    <t>2ª FASE</t>
  </si>
  <si>
    <t>3ª FASE</t>
  </si>
  <si>
    <t>4ª FASE</t>
  </si>
  <si>
    <t>TIPO DE COMPRA</t>
  </si>
  <si>
    <t>FORMATOS</t>
  </si>
  <si>
    <t>%</t>
  </si>
  <si>
    <t>ORÇAMENTO 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</si>
  <si>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</si>
  <si>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</si>
  <si>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</si>
  <si>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</si>
  <si>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</si>
  <si>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</si>
  <si>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</si>
  <si>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</si>
  <si>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</si>
  <si>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</si>
  <si>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</si>
  <si>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</si>
  <si>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KPI</t>
  </si>
  <si>
    <t>META</t>
  </si>
  <si>
    <t>VALOR META</t>
  </si>
  <si>
    <t>CPC</t>
  </si>
  <si>
    <t>Search</t>
  </si>
  <si>
    <t>Leads</t>
  </si>
  <si>
    <t>Display</t>
  </si>
  <si>
    <t>Conversão</t>
  </si>
  <si>
    <t>CPV</t>
  </si>
  <si>
    <t>Video</t>
  </si>
  <si>
    <t>-</t>
  </si>
  <si>
    <t>Impressões</t>
  </si>
  <si>
    <t>TOTAL GOOGLE ADS</t>
  </si>
  <si>
    <t>Carrossel</t>
  </si>
  <si>
    <t>Stories</t>
  </si>
  <si>
    <t>Views</t>
  </si>
  <si>
    <t>TOTAL META ADS</t>
  </si>
  <si>
    <t>InMail</t>
  </si>
  <si>
    <t>Content</t>
  </si>
  <si>
    <t>TOTAL LINKEDIN ADS</t>
  </si>
  <si>
    <t>Tráfego</t>
  </si>
  <si>
    <t>TOTAL YOUTUBE ADS</t>
  </si>
  <si>
    <t>INVESTIMENTO TOTAL</t>
  </si>
  <si>
    <t>Conceito Planejamento de Mídia</t>
  </si>
  <si>
    <t>⬅️ Clique no sinal de + para visualizar o conteúdo</t>
  </si>
  <si>
    <t>Como usar o Template de Planejamento de Mídia</t>
  </si>
  <si>
    <t>Escolha seus canais com base no público e objetivo.
Distribua a verba entre canais e formatos.
Defina metas realistas e mensuráveis.
Acompanhe mês a mês o desempenho e faça ajustes.</t>
  </si>
  <si>
    <t>O segredo de um bom plano de mídia não é gastar mais, é investir melhor.</t>
  </si>
  <si>
    <t>2.1 Diretrizes Produção</t>
  </si>
  <si>
    <t>Diretrizes para Produção</t>
  </si>
  <si>
    <t>Plataforma</t>
  </si>
  <si>
    <t>Formato</t>
  </si>
  <si>
    <t>Proporção / Tamanho Ideal</t>
  </si>
  <si>
    <t>Texto / Copy</t>
  </si>
  <si>
    <t>Duração (se vídeo)</t>
  </si>
  <si>
    <t>Boas Práticas / Dicas de Criação</t>
  </si>
  <si>
    <t>Ideal para</t>
  </si>
  <si>
    <t>Instagram / Facebook</t>
  </si>
  <si>
    <t>Feed (Imagem Única)</t>
  </si>
  <si>
    <t>1080 x 1080 px (1:1)</t>
  </si>
  <si>
    <t>Máx. 125 caracteres no texto principal</t>
  </si>
  <si>
    <t>Imagem limpa, 20% texto no máximo, CTA claro. Use pessoas e contexto real. Ideal para awareness e tráfego.</t>
  </si>
  <si>
    <t xml:space="preserve">Topo / Meio </t>
  </si>
  <si>
    <t>Feed (carrossel)</t>
  </si>
  <si>
    <t>Um benefício por card</t>
  </si>
  <si>
    <t>Máx. 10 cards</t>
  </si>
  <si>
    <t>Use sequência lógica: problema → solução → CTA. 
Ótimo para comparar recursos e cases.</t>
  </si>
  <si>
    <t>Meio / Fundo</t>
  </si>
  <si>
    <t>Stories / Reels</t>
  </si>
  <si>
    <t>1080 x 1920 px (9:16)</t>
  </si>
  <si>
    <t>Curto, direto e com CTA</t>
  </si>
  <si>
    <t>6-15 seg</t>
  </si>
  <si>
    <t>Mostre o benefício nos primeiros 3 seg. Adicione legenda e logo da marca. Conteúdo leve, direto e visualmente marcante. Excelente para awareness e engajamento.</t>
  </si>
  <si>
    <t>Topo / Meio / Fundo</t>
  </si>
  <si>
    <t>Collection / Instant Experience</t>
  </si>
  <si>
    <t>Capa + produtos (1080x1080 px)</t>
  </si>
  <si>
    <t>Combine imagem + catálogo. Mostre variedade. Boa performance em e-commerce e SaaS.</t>
  </si>
  <si>
    <t>Fundo</t>
  </si>
  <si>
    <t>Video Feed / Reels Ads</t>
  </si>
  <si>
    <t>1080x1350 ou 1080x1920 px</t>
  </si>
  <si>
    <t>5-30 seg</t>
  </si>
  <si>
    <t>Mostre benefício logo no início. Use CTA visual. Ideal para mostrar o produto em uso.</t>
  </si>
  <si>
    <t>Search Ad (pesquisa)</t>
  </si>
  <si>
    <t>3 títulos (30 caracteres) + 2 descrições (90 caracteres)</t>
  </si>
  <si>
    <t>Use palavras-chave e CTAs claros (Ex: “Teste grátis”, “Agende agora”). Use palavras-chave exatas, títulos claros e extensões de anúncio. Alta intenção de conversão.</t>
  </si>
  <si>
    <t>Display (imagem responsiva)</t>
  </si>
  <si>
    <t>300x250, 336x280, 728x90, 300x600, 160x600, 970x250, 320x100</t>
  </si>
  <si>
    <t>Título 30 / Descrição 90</t>
  </si>
  <si>
    <t>Use imagens limpas, pouco texto, CTA visível e logo. Teste 3 variações. Útil também para remarketing e awareness.</t>
  </si>
  <si>
    <t>Discovery Ad (Pmax)</t>
  </si>
  <si>
    <t>1200x628 px (horizontal) ou 1200x1200 px</t>
  </si>
  <si>
    <t>Use imagens limpas e títulos descritivos. Mostra conteúdo em YouTube, Gmail e Discover.</t>
  </si>
  <si>
    <t>In-Stream (pular após 5s)</t>
  </si>
  <si>
    <t>1920x1080 px (16:9)</t>
  </si>
  <si>
    <t>6-30 seg</t>
  </si>
  <si>
    <t>Captar atenção nos 3 primeiros segundos, CTA visual e verbal. Ideal para awareness e consideração.</t>
  </si>
  <si>
    <t>Topo / Meio</t>
  </si>
  <si>
    <t>In-Feed (antigo Discovery)</t>
  </si>
  <si>
    <t>Thumbnail 1280x720 px + título</t>
  </si>
  <si>
    <t>Thumbnail atrativa + título chamativo com benefício. Gera tráfego qualificado para vídeos.</t>
  </si>
  <si>
    <t>Meio</t>
  </si>
  <si>
    <t>Bumper Ad</t>
  </si>
  <si>
    <t>1920x1080 px</t>
  </si>
  <si>
    <t>6seg</t>
  </si>
  <si>
    <t>Mensagem única e direta, CTA curto. Excelente para reforço de marca.</t>
  </si>
  <si>
    <t>Topo</t>
  </si>
  <si>
    <t>Sponsored Content 
(Single Image Ad)</t>
  </si>
  <si>
    <t>1200 x 627 px (imagem)</t>
  </si>
  <si>
    <t>Até 150 caracteres</t>
  </si>
  <si>
    <t>Destaque resultados, números e cases. Use tom profissional. Visual limpo, título claro e CTA direto. Melhor para leads B2B e tráfego qualificado.</t>
  </si>
  <si>
    <t>Sponsored Content 
(Carrossel Ad)</t>
  </si>
  <si>
    <t>1080x1080 px (1:1)</t>
  </si>
  <si>
    <t>Use narrativa visual (problema → solução). Destaque resultados e diferenciais. Ideal para storytelling e comparativos. Excelente para mostrar diferenciais.</t>
  </si>
  <si>
    <t xml:space="preserve">Meio </t>
  </si>
  <si>
    <t>Sponsored Content (Video Ad)</t>
  </si>
  <si>
    <t>1:1 ou 16:9 (1080p)</t>
  </si>
  <si>
    <t>5-30s</t>
  </si>
  <si>
    <t>Comece com o problema, mostre a solução. Use legendas e CTA. Fortalece posicionamento da marca.</t>
  </si>
  <si>
    <t>InMail / Message Ads</t>
  </si>
  <si>
    <t>300x250 (opcional)</t>
  </si>
  <si>
    <t>Título 60 / Corpo até 500 caracteres</t>
  </si>
  <si>
    <t>Linguagem pessoal. Comece com o nome do lead. Texto personalizado, linguagem direta e oferta relevante. Ideal para convites e trial B2B.</t>
  </si>
  <si>
    <t>Twitter (X) Ads</t>
  </si>
  <si>
    <t>Promoted Tweet (imagem)</t>
  </si>
  <si>
    <t>1200x675 px</t>
  </si>
  <si>
    <t>Texto curto (&lt;100 caracteres)</t>
  </si>
  <si>
    <t>CTA direto e emoji moderado. Ideal para awareness e lançamentos.</t>
  </si>
  <si>
    <t>Video Ad</t>
  </si>
  <si>
    <t>Até 120s</t>
  </si>
  <si>
    <t>Mencione a marca nos 3 primeiros segundos; legende sempre. Use vídeos rápidos com benefício claro.</t>
  </si>
  <si>
    <t>Carousel Ad</t>
  </si>
  <si>
    <t>800x800 px (quadrado)</t>
  </si>
  <si>
    <t>Máx. 6 cards</t>
  </si>
  <si>
    <t>Use storytelling visual e CTA no último card. Promova comparativos ou cases.</t>
  </si>
  <si>
    <t>Tik Tok Ads</t>
  </si>
  <si>
    <t>In-Feed Ad</t>
  </si>
  <si>
    <t>1080x1920 px (vertical)</t>
  </si>
  <si>
    <t>9-15s</t>
  </si>
  <si>
    <t>Conteúdo nativo, ritmo rápido, linguagem leve. Mostre produto em uso. Use músicas e trends.</t>
  </si>
  <si>
    <t>TopView Ad</t>
  </si>
  <si>
    <t>1080x1920 px</t>
  </si>
  <si>
    <t>Até 60s</t>
  </si>
  <si>
    <t>Impacto visual alto, mensagem clara e CTA visível. Ideal para lançamentos.</t>
  </si>
  <si>
    <t>Spark Ad</t>
  </si>
  <si>
    <t>6-15s</t>
  </si>
  <si>
    <t>Use vídeos orgânicos de criadores; foco em autenticidade. Reaproveite conteúdo UGC.</t>
  </si>
  <si>
    <t>Pinterest Ads</t>
  </si>
  <si>
    <t>Standard Pin</t>
  </si>
  <si>
    <t>1000x1500 px (vertical)</t>
  </si>
  <si>
    <t>Visual inspirador, pouca informação textual. Excelente para awareness e tráfego.</t>
  </si>
  <si>
    <t>Carousel Pin</t>
  </si>
  <si>
    <t>1000x1500 px (1:1 ou vertical)</t>
  </si>
  <si>
    <t>2-5 cards</t>
  </si>
  <si>
    <t>Mostre processo ou variações do produto. Use títulos otimizados com palavras-chave.</t>
  </si>
  <si>
    <t>Video Pin</t>
  </si>
  <si>
    <t>Conteúdo leve, tutorial ou demonstração. Ideal para tutoriais e demonstrações curtas.</t>
  </si>
  <si>
    <t xml:space="preserve">Diretrizes </t>
  </si>
  <si>
    <t>Essas informações e diretrizes podem mudar a qualquer momento, de acordo com as atualizações das plataformas. 
Dados atualizados em novembro de 2025.</t>
  </si>
  <si>
    <t>3.0 Estrutura LP</t>
  </si>
  <si>
    <t>Estrutura Landing Pages</t>
  </si>
  <si>
    <t>Fase Funil</t>
  </si>
  <si>
    <t>Seção da LP</t>
  </si>
  <si>
    <t>Objetivo da Seção</t>
  </si>
  <si>
    <t>Direcionamento
de Conteúdo / Copy</t>
  </si>
  <si>
    <t>Formato Visual</t>
  </si>
  <si>
    <t>Observações / Boas Práticas</t>
  </si>
  <si>
    <t>TOPO DO FUNIL</t>
  </si>
  <si>
    <t>Hero (Título + Subtítulo + CTA)</t>
  </si>
  <si>
    <t>Chamar atenção e gerar curiosidade</t>
  </si>
  <si>
    <t>Foco em benefício + CTA leve (“Baixe”, “Descubra”, “Acesse grátis”)</t>
  </si>
  <si>
    <t>Imagem ou mockup do material</t>
  </si>
  <si>
    <t>CTA sempre visível no topo</t>
  </si>
  <si>
    <t>Benefícios / Aprendizados</t>
  </si>
  <si>
    <t>Mostrar valor do conteúdo</t>
  </si>
  <si>
    <t>Liste 3-4 tópicos de aprendizado</t>
  </si>
  <si>
    <t>Ícones / listas</t>
  </si>
  <si>
    <t>Use linguagem simples e visual</t>
  </si>
  <si>
    <t>Imagem do material</t>
  </si>
  <si>
    <t>Reforçar valor percebido</t>
  </si>
  <si>
    <t>Mockup de e-book, planilha, etc.</t>
  </si>
  <si>
    <t>Mostrar o que o lead vai receber</t>
  </si>
  <si>
    <t>Depoimentos (opcional)</t>
  </si>
  <si>
    <t>Gerar credibilidade</t>
  </si>
  <si>
    <t>Inserir prova social se houver</t>
  </si>
  <si>
    <t>Quotes curtos</t>
  </si>
  <si>
    <t>Não obrigatório para topo</t>
  </si>
  <si>
    <t>Formulário de Conversão</t>
  </si>
  <si>
    <t>Captar lead</t>
  </si>
  <si>
    <t>Poucos campos (Nome, E-mail, Empresa)</t>
  </si>
  <si>
    <t>Campos simples</t>
  </si>
  <si>
    <t>Deixe acima da dobra (seção 1 ou 2)</t>
  </si>
  <si>
    <t>CTA Final</t>
  </si>
  <si>
    <t>Reforçar ação</t>
  </si>
  <si>
    <t>Repetir o CTA do topo</t>
  </si>
  <si>
    <t>Botão colorido</t>
  </si>
  <si>
    <t>Fundo contrastante</t>
  </si>
  <si>
    <t>MEIO DO FUNIL</t>
  </si>
  <si>
    <t>Hero (Título + CTA direto)</t>
  </si>
  <si>
    <t>Gerar interesse e credibilidade</t>
  </si>
  <si>
    <t>Apresente o problema e a transformação que sua solução oferece; CTA: “Conheça a Solução” ou “Assista à Demo”</t>
  </si>
  <si>
    <t>Imagem contextual / mockup da ferramenta</t>
  </si>
  <si>
    <t>CTA logo no topo, visível sem rolagem</t>
  </si>
  <si>
    <t>Benefícios / Diferenciais</t>
  </si>
  <si>
    <t>Mostrar o que muda com a sua solução</t>
  </si>
  <si>
    <t>Destaque ganhos concretos (tempo, eficiência, custo). Use linguagem orientada a resultado</t>
  </si>
  <si>
    <t>Ícones ou imagens ilustrativas</t>
  </si>
  <si>
    <t>3–5 bullets no máximo; foco em clareza</t>
  </si>
  <si>
    <t>Prova Social</t>
  </si>
  <si>
    <t>Validar com credibilidade</t>
  </si>
  <si>
    <t>Inclua depoimentos, avaliações, logos de clientes ou prêmios</t>
  </si>
  <si>
    <t>Box visual com fotos/logos</t>
  </si>
  <si>
    <t>Ideal: 3 depoimentos ou 5 logos</t>
  </si>
  <si>
    <t>Demonstração / Explicação</t>
  </si>
  <si>
    <t>Mostrar o produto ou serviço em ação</t>
  </si>
  <si>
    <t>Use vídeo curto, prints, carrossel de features</t>
  </si>
  <si>
    <t>Vídeo ou GIF animado</t>
  </si>
  <si>
    <t>Mostrar “o que ele ganha”, não “o que ele faz”</t>
  </si>
  <si>
    <t>Formulário / CTA Secundário</t>
  </si>
  <si>
    <t>Captar lead interessado</t>
  </si>
  <si>
    <t>Convite direto: “Peça uma demonstração”, “Baixe o guia técnico”</t>
  </si>
  <si>
    <t>Form simples</t>
  </si>
  <si>
    <t>Posicionar também no meio da página</t>
  </si>
  <si>
    <t>FAQ (Perguntas Frequentes)</t>
  </si>
  <si>
    <t>Remover objeções antes da conversão</t>
  </si>
  <si>
    <t>Liste as 3 a 5 principais dúvidas dos clientes</t>
  </si>
  <si>
    <t>Bloco em acordeão / colunas</t>
  </si>
  <si>
    <t>Linguagem natural e respostas curtas</t>
  </si>
  <si>
    <t>Repetir o CTA com urgência leve</t>
  </si>
  <si>
    <t>Botão destacado / seção colorida</t>
  </si>
  <si>
    <t>Evite criar novos CTAs diferentes</t>
  </si>
  <si>
    <t>FUNDO DO FUNIL</t>
  </si>
  <si>
    <t>Hero (Título forte + CTA de ação)</t>
  </si>
  <si>
    <t>Converter diretamente</t>
  </si>
  <si>
    <t>CTA claro e único: “Teste grátis”, “Solicite proposta”</t>
  </si>
  <si>
    <t>Fundo sólido, CTA contrastante</t>
  </si>
  <si>
    <t>CTA fixo ou repetido ao longo da página</t>
  </si>
  <si>
    <t>Prova Social / Case</t>
  </si>
  <si>
    <t>Mostrar resultado real de clientes</t>
  </si>
  <si>
    <t>Inclua métricas e depoimentos (“+40% produtividade”)</t>
  </si>
  <si>
    <t>Box visual com fotos e logos</t>
  </si>
  <si>
    <t>Use um case por LP — simples e direto</t>
  </si>
  <si>
    <t>Benefícios do Produto / Solução</t>
  </si>
  <si>
    <t>Reforçar valor tangível e diferenciais</t>
  </si>
  <si>
    <t>Destaque ganhos concretos (ROI, redução de erros, rapidez)</t>
  </si>
  <si>
    <t>Ícones / prints da interface</t>
  </si>
  <si>
    <t>Frases curtas, com foco em impacto real</t>
  </si>
  <si>
    <t>Comparativo / Garantias</t>
  </si>
  <si>
    <t>Reduzir objeções e dar segurança</t>
  </si>
  <si>
    <t>Compare com concorrentes, destaque suporte ou política de trial</t>
  </si>
  <si>
    <t>Tabela ou bullets</t>
  </si>
  <si>
    <t>Use gatilhos de confiança (“Sem compromisso”, “Sem cartão”)</t>
  </si>
  <si>
    <t>Captar o lead quente</t>
  </si>
  <si>
    <t>Campos curtos (nome, e-mail, empresa). Use formulários inteligentes, se possível</t>
  </si>
  <si>
    <t>Campo simples, acima da dobra</t>
  </si>
  <si>
    <t>Deve aparecer na 1ª ou 2ª seção</t>
  </si>
  <si>
    <t>Reforçar ação imediata</t>
  </si>
  <si>
    <t>“Comece agora”, “Teste grátis por 15 dias”, “Solicite proposta”</t>
  </si>
  <si>
    <t xml:space="preserve">Fundo contrastante </t>
  </si>
  <si>
    <t>Inclua reforço de urgência leve (“Vagas limitadas”, “Últimos dias”)</t>
  </si>
  <si>
    <t>Objetivo da Planilha</t>
  </si>
  <si>
    <t>Este template foi criado para ajudar você a estruturar sua Landing Page (LP) de forma estratégica, conectando copy, design e funil de vendas.
A ideia é que você consiga definir o foco, as seções e os elementos principais de acordo com o estágio da jornada (Topo, Meio ou Fundo de Funil).</t>
  </si>
  <si>
    <t>3.1 Checklist LP</t>
  </si>
  <si>
    <t>Checklist Landing Pages</t>
  </si>
  <si>
    <t>Bloco</t>
  </si>
  <si>
    <t>Item de Verificação</t>
  </si>
  <si>
    <t>Por que é importante</t>
  </si>
  <si>
    <t>Observções</t>
  </si>
  <si>
    <t>Estrutura e Hierarquia</t>
  </si>
  <si>
    <t>CTA principal visível acima da dobra</t>
  </si>
  <si>
    <t>Garante conversão imediata</t>
  </si>
  <si>
    <t>Ordem lógica das seções (Hero → Benefícios → Prova → CTA)</t>
  </si>
  <si>
    <t>Facilita a leitura em “F-pattern”</t>
  </si>
  <si>
    <t>Sem navegação externa (menu, links desnecessários)</t>
  </si>
  <si>
    <t>Mantém o foco na conversão</t>
  </si>
  <si>
    <t>Copywriting e CTA</t>
  </si>
  <si>
    <t>Headline comunica benefício direto</t>
  </si>
  <si>
    <t>Gera clareza e interesse imediato</t>
  </si>
  <si>
    <t>CTA usa verbo de ação (“Teste”, “Baixe”, “Acesse”)</t>
  </si>
  <si>
    <t>Reforça ação e intenção</t>
  </si>
  <si>
    <t>Texto centrado no usuário (“você” &gt; “nós”)</t>
  </si>
  <si>
    <t>Fala com o público, não sobre você</t>
  </si>
  <si>
    <t>Prova social incluída (depoimentos, números, cases)</t>
  </si>
  <si>
    <t>Aumenta confiança</t>
  </si>
  <si>
    <t>Design e Usabilidade</t>
  </si>
  <si>
    <t>Contraste entre texto e fundo adequado</t>
  </si>
  <si>
    <t>Facilita leitura e escaneabilidade</t>
  </si>
  <si>
    <t>Espaçamento adequado entre seções</t>
  </si>
  <si>
    <t>Melhora fluidez visual</t>
  </si>
  <si>
    <t>Layout responsivo (desktop e mobile)</t>
  </si>
  <si>
    <t>Garante boa experiência</t>
  </si>
  <si>
    <t>Técnico e SEO</t>
  </si>
  <si>
    <t>Título (meta title) otimizado</t>
  </si>
  <si>
    <t>Melhora visibilidade no Google</t>
  </si>
  <si>
    <t>Velocidade de carregamento testada</t>
  </si>
  <si>
    <t>Impacta conversão direta</t>
  </si>
  <si>
    <t>Pixel e eventos de conversão configurados</t>
  </si>
  <si>
    <t>Permite mensuração real</t>
  </si>
  <si>
    <t>Integração e Conversão</t>
  </si>
  <si>
    <t>Formulário fácil de preencher no mobile</t>
  </si>
  <si>
    <t>Evita desistências</t>
  </si>
  <si>
    <t>Integração com as ferramentas de CRM e Automação</t>
  </si>
  <si>
    <t>Facilita o fluxo de nutrição e automação das campanhas</t>
  </si>
  <si>
    <t>Garantir que a LP está otimizada antes da publicação, revisando aspectos de estrutura, copy, design, técnica e performance.
Este checklist pode ser usado como lista de QA (quality assurance) entre time de criação e performance.</t>
  </si>
  <si>
    <t>Instruções de uso</t>
  </si>
  <si>
    <t>→ Preencha “OK” em cada item.
→ Use a coluna “Observações” para anotar pontos específicos.
→ Idealmente, dois revisores: um da parte de conteúdo e outro técnico.
→ A LP só é publicada após todos os blocos estarem com status “OK”.</t>
  </si>
  <si>
    <t>4.0 Mapa de Gatilhos de Conversão</t>
  </si>
  <si>
    <t>Mapa Gatilhos de Conversão</t>
  </si>
  <si>
    <t>Gatilho de Conversão</t>
  </si>
  <si>
    <t>Tipo</t>
  </si>
  <si>
    <t>Fase do Funil</t>
  </si>
  <si>
    <t xml:space="preserve">Página / Canal </t>
  </si>
  <si>
    <t>CTA</t>
  </si>
  <si>
    <t>Taxa Atual</t>
  </si>
  <si>
    <t>Nova Ideia / Teste</t>
  </si>
  <si>
    <t>Download eBook “Guia de Digitalização para Clínicas”</t>
  </si>
  <si>
    <t>Lead</t>
  </si>
  <si>
    <t>Blog / Pop-up / LP</t>
  </si>
  <si>
    <t>Capturar leads topo de funil</t>
  </si>
  <si>
    <t>“Baixar gratuitamente”</t>
  </si>
  <si>
    <t>Conteúdo muito técnico: Adicionar checklist visual + CTA mais direto</t>
  </si>
  <si>
    <t>Assinatura da Newsletter</t>
  </si>
  <si>
    <t>Engajamento</t>
  </si>
  <si>
    <t>Rodapé do site</t>
  </si>
  <si>
    <t>Capturar base leve e engajar</t>
  </si>
  <si>
    <t>“Receba insights semanais”</t>
  </si>
  <si>
    <t>Baixo destaque visual: Criar banner fixo no blog</t>
  </si>
  <si>
    <t>Diagnóstico gratuito de maturidade digital</t>
  </si>
  <si>
    <t>Ferramenta Interativa</t>
  </si>
  <si>
    <t>Landing Page</t>
  </si>
  <si>
    <t>Gerar leads qualificados</t>
  </si>
  <si>
    <t>“Faça o diagnóstico gratuito”</t>
  </si>
  <si>
    <t>Formulário longo: Reduzir para 4 perguntas</t>
  </si>
  <si>
    <t>Webinar “Como automatizar o agendamento da sua clínica”</t>
  </si>
  <si>
    <t>Evento</t>
  </si>
  <si>
    <t>Educar e gerar autoridade</t>
  </si>
  <si>
    <t>“Inscreva-se gratuitamente”</t>
  </si>
  <si>
    <t>Sem remarketing: criar automação de lembrete e replay</t>
  </si>
  <si>
    <t>LP de Trial de 15 dias</t>
  </si>
  <si>
    <t>Conversão Direta</t>
  </si>
  <si>
    <t>Gerar trials e oportunidades reais</t>
  </si>
  <si>
    <t>“Testar por 15 dias grátis”</t>
  </si>
  <si>
    <t>Pouca prova social: Incluir depoimentos e cases</t>
  </si>
  <si>
    <t>Botão “Solicitar Demonstração”</t>
  </si>
  <si>
    <t>Menu / Header / LP</t>
  </si>
  <si>
    <t>Converter MQL em SQL</t>
  </si>
  <si>
    <t>“Agendar demo”</t>
  </si>
  <si>
    <t>CTA pouco visível: Reforçar cor e texto do botão</t>
  </si>
  <si>
    <t>Pop-up de saída em LPs</t>
  </si>
  <si>
    <t>Retenção</t>
  </si>
  <si>
    <t>LPs</t>
  </si>
  <si>
    <t>Reengajar quem abandona</t>
  </si>
  <si>
    <t>“Quer ver a plataforma antes de decidir?”</t>
  </si>
  <si>
    <t>Inativo ainda: Testar pop-up de vídeo curto com CTA</t>
  </si>
  <si>
    <t>Objetivo - Mapa de Gatilhos de Conversão</t>
  </si>
  <si>
    <t>Mapear todos os pontos de conversão existentes e potenciais (no site, LPs, campanhas, e-mails, etc.) e entender onde otimizar para gerar mais leads e clientes.</t>
  </si>
  <si>
    <t>Instruções para preencher</t>
  </si>
  <si>
    <r>
      <rPr>
        <sz val="10"/>
        <color rgb="FF666666"/>
        <rFont val="Arial"/>
      </rPr>
      <t xml:space="preserve">1. Liste todos os </t>
    </r>
    <r>
      <rPr>
        <b/>
        <sz val="10"/>
        <color rgb="FF666666"/>
        <rFont val="Arial"/>
      </rPr>
      <t>pontos de contato</t>
    </r>
    <r>
      <rPr>
        <sz val="10"/>
        <color rgb="FF666666"/>
        <rFont val="Arial"/>
      </rPr>
      <t xml:space="preserve"> onde o lead pode converter.
2. Classifique por </t>
    </r>
    <r>
      <rPr>
        <b/>
        <sz val="10"/>
        <color rgb="FF666666"/>
        <rFont val="Arial"/>
      </rPr>
      <t>fase do funil</t>
    </r>
    <r>
      <rPr>
        <sz val="10"/>
        <color rgb="FF666666"/>
        <rFont val="Arial"/>
      </rPr>
      <t xml:space="preserve"> (Topo, Meio, Fundo).
3. Inclua </t>
    </r>
    <r>
      <rPr>
        <b/>
        <sz val="10"/>
        <color rgb="FF666666"/>
        <rFont val="Arial"/>
      </rPr>
      <t>dados reais</t>
    </r>
    <r>
      <rPr>
        <sz val="10"/>
        <color rgb="FF666666"/>
        <rFont val="Arial"/>
      </rPr>
      <t xml:space="preserve"> se disponíveis (taxa de conversão, cliques etc).
4. Identifique </t>
    </r>
    <r>
      <rPr>
        <b/>
        <sz val="10"/>
        <color rgb="FF666666"/>
        <rFont val="Arial"/>
      </rPr>
      <t>melhorias e novos testes possíveis</t>
    </r>
    <r>
      <rPr>
        <sz val="10"/>
        <color rgb="FF666666"/>
        <rFont val="Arial"/>
      </rPr>
      <t>.</t>
    </r>
  </si>
  <si>
    <t>4.1 Jornada Pós-Lead</t>
  </si>
  <si>
    <t>Jornada Pós-Lead</t>
  </si>
  <si>
    <t>Etapa</t>
  </si>
  <si>
    <t>Tempo</t>
  </si>
  <si>
    <t>Conteúdo / Mensagem</t>
  </si>
  <si>
    <t>Gatilho Psicológico</t>
  </si>
  <si>
    <r>
      <rPr>
        <b/>
        <sz val="10"/>
        <color rgb="FF434343"/>
        <rFont val="Arial"/>
      </rPr>
      <t>Trial 15 dias</t>
    </r>
    <r>
      <rPr>
        <sz val="10"/>
        <color rgb="FF434343"/>
        <rFont val="Arial"/>
      </rPr>
      <t xml:space="preserve">
(Fundo Funil)</t>
    </r>
  </si>
  <si>
    <t>E-mail 1: Boas-vindas</t>
  </si>
  <si>
    <t>Imediato</t>
  </si>
  <si>
    <t>“Bem-vindo(a) à Clínica Tech! Veja como aproveitar seu trial ao máximo.”</t>
  </si>
  <si>
    <t>Antecipação / Clareza</t>
  </si>
  <si>
    <t>Engajar e guiar primeiros passos</t>
  </si>
  <si>
    <t>“Acessar o painel”</t>
  </si>
  <si>
    <t>E-mail 2: Dica de uso + Benefício</t>
  </si>
  <si>
    <t>2 Dias</t>
  </si>
  <si>
    <t>“Dica do dia: automatize o agendamento e ganhe 2h por dia.”</t>
  </si>
  <si>
    <t>Benefício / Praticidade</t>
  </si>
  <si>
    <t>Mostrar valor rápido</t>
  </si>
  <si>
    <t>“Ver tutorial”</t>
  </si>
  <si>
    <t>E-mail 3: Case real</t>
  </si>
  <si>
    <t>4 Dias</t>
  </si>
  <si>
    <t>“Veja como a Clínica Saúde+ cresceu 30% com o sistema.”</t>
  </si>
  <si>
    <t>Prova social</t>
  </si>
  <si>
    <t>Reforçar valor</t>
  </si>
  <si>
    <t>“Assistir depoimento”</t>
  </si>
  <si>
    <t>E-mail 4: Lembrete de expiração</t>
  </si>
  <si>
    <t>7 Dias</t>
  </si>
  <si>
    <t>“Seu trial termina amanhã, não perca seus dados e cadastros.”</t>
  </si>
  <si>
    <t>Urgência / Perda</t>
  </si>
  <si>
    <t>Estimular upgrade</t>
  </si>
  <si>
    <t>“Assinar agora”</t>
  </si>
  <si>
    <t>E-mail 5: Desconto</t>
  </si>
  <si>
    <t>Fora do fluxo de automação</t>
  </si>
  <si>
    <t>“Aproveite 15% OFF na primeira assinatura.”</t>
  </si>
  <si>
    <t>Escassez / Oferta</t>
  </si>
  <si>
    <t>Reengajar indecisos</t>
  </si>
  <si>
    <t>“Assinar hoje”</t>
  </si>
  <si>
    <r>
      <rPr>
        <b/>
        <sz val="10"/>
        <color rgb="FF434343"/>
        <rFont val="Arial"/>
      </rPr>
      <t xml:space="preserve">Download de Material Técnico
</t>
    </r>
    <r>
      <rPr>
        <sz val="10"/>
        <color rgb="FF434343"/>
        <rFont val="Arial"/>
      </rPr>
      <t>(Meio Funil)</t>
    </r>
  </si>
  <si>
    <t>E-mail 1: Agradecimento + valor</t>
  </si>
  <si>
    <t>“Aqui está seu guia sobre agricultura digital eficiente e como grandes fazendas estão se modernizando com IoT.”</t>
  </si>
  <si>
    <t>Reciprocidade / Autoridade</t>
  </si>
  <si>
    <t>E-mail 2: Educação + problema comum</t>
  </si>
  <si>
    <t>“Você sabe quanto sua fazenda perde com pulverização imprecisa? Veja como identificar gargalos.”</t>
  </si>
  <si>
    <t>Dor / Urgência</t>
  </si>
  <si>
    <t>E-mail 3: Introdução à solução</t>
  </si>
  <si>
    <t>“Como a Connecthings ajuda produtores a reduzir custos e melhorar eficiência no campo.”</t>
  </si>
  <si>
    <t>Benefício / Solução</t>
  </si>
  <si>
    <t>E-mail 4: Case real</t>
  </si>
  <si>
    <t>“Fazenda Boa Vista economizou 22% em insumos após adotar o sistema Connecthings.”</t>
  </si>
  <si>
    <t>E-mail 5: Convite para demonstração no campo</t>
  </si>
  <si>
    <t>“Quer ver na prática como funciona? Agende uma demonstração gratuita.”</t>
  </si>
  <si>
    <t>Urgência / Exclusividade</t>
  </si>
  <si>
    <t>Gerar MQL e conversão para demo</t>
  </si>
  <si>
    <t>“Agendar demonstração”</t>
  </si>
  <si>
    <r>
      <rPr>
        <b/>
        <sz val="10"/>
        <color rgb="FF434343"/>
        <rFont val="Arial"/>
      </rPr>
      <t xml:space="preserve">Agendamento de Demonstração
</t>
    </r>
    <r>
      <rPr>
        <sz val="10"/>
        <color rgb="FF434343"/>
        <rFont val="Arial"/>
      </rPr>
      <t>(Fundo Funil)</t>
    </r>
  </si>
  <si>
    <t>E-mail 1: Confirmação da demo</t>
  </si>
  <si>
    <t>“Sua demonstração com a Connecthings está confirmada! Veja o que você vai descobrir.”</t>
  </si>
  <si>
    <t>Clareza / Antecipação</t>
  </si>
  <si>
    <t>Confirmar presença e preparar o lead</t>
  </si>
  <si>
    <t>“Adicionar ao calendário”</t>
  </si>
  <si>
    <t>E-mail 2: Pré-aquecimento</t>
  </si>
  <si>
    <t>1 Dia</t>
  </si>
  <si>
    <t>“Veja como outras fazendas estão automatizando o campo e ganhando produtividade.”</t>
  </si>
  <si>
    <t>Autoridade / Prova social</t>
  </si>
  <si>
    <t>Reforçar valor antes da reunião</t>
  </si>
  <si>
    <t>“Ver histórias reais”</t>
  </si>
  <si>
    <t>E-mail 3: Pós-demo imediato</t>
  </si>
  <si>
    <t>1 Hora</t>
  </si>
  <si>
    <t>“Foi ótimo conversar! Aqui está o resumo da demonstração e as soluções que mais fazem sentido para seu negócio.”</t>
  </si>
  <si>
    <t>Reciprocidade / Clareza</t>
  </si>
  <si>
    <t>Reforçar pontos discutidos e encaminhar decisão</t>
  </si>
  <si>
    <t>“Baixar resumo”</t>
  </si>
  <si>
    <t>E-mail 4: Case real + ROI</t>
  </si>
  <si>
    <t>“Veja como a Fazenda Boa Vista economizou R$ 120 mil/ano com digitalização da pulverização.”</t>
  </si>
  <si>
    <t>Prova social / Ganho</t>
  </si>
  <si>
    <t>Reforçar confiança e ROI</t>
  </si>
  <si>
    <t>“Ler o case completo”</t>
  </si>
  <si>
    <t>E-mail 5: Oferta comercial</t>
  </si>
  <si>
    <t>“Condições especiais para fechar ainda este mês - transforme sua operação com Connecthings.”</t>
  </si>
  <si>
    <t>Escassez / Urgência</t>
  </si>
  <si>
    <t>Converter lead em cliente</t>
  </si>
  <si>
    <t>“Falar com especialista”</t>
  </si>
  <si>
    <t>Desenhar o fluxo de relacionamento e nutrição para cada tipo de conversão, alinhando o tom e o conteúdo de acordo com a fase do funil.</t>
  </si>
  <si>
    <r>
      <rPr>
        <sz val="10"/>
        <color rgb="FF000000"/>
        <rFont val="Arial"/>
      </rPr>
      <t>→ Escolha o</t>
    </r>
    <r>
      <rPr>
        <b/>
        <sz val="10"/>
        <color rgb="FF000000"/>
        <rFont val="Arial"/>
      </rPr>
      <t xml:space="preserve"> gatilho principal </t>
    </r>
    <r>
      <rPr>
        <sz val="10"/>
        <color rgb="FF000000"/>
        <rFont val="Arial"/>
      </rPr>
      <t>(por exemplo, “Trial”, “Webinar”, “Diagnóstico”).
→ Estruture o</t>
    </r>
    <r>
      <rPr>
        <b/>
        <sz val="10"/>
        <color rgb="FF000000"/>
        <rFont val="Arial"/>
      </rPr>
      <t xml:space="preserve"> fluxo de comunicações</t>
    </r>
    <r>
      <rPr>
        <sz val="10"/>
        <color rgb="FF000000"/>
        <rFont val="Arial"/>
      </rPr>
      <t xml:space="preserve"> com mensagens e objetivos claros.
→ Inclua </t>
    </r>
    <r>
      <rPr>
        <b/>
        <sz val="10"/>
        <color rgb="FF000000"/>
        <rFont val="Arial"/>
      </rPr>
      <t>gatilhos psicológicos</t>
    </r>
    <r>
      <rPr>
        <sz val="10"/>
        <color rgb="FF000000"/>
        <rFont val="Arial"/>
      </rPr>
      <t xml:space="preserve"> usados (prova social, urgência, reciprocidade).
→ Defina </t>
    </r>
    <r>
      <rPr>
        <b/>
        <sz val="10"/>
        <color rgb="FF000000"/>
        <rFont val="Arial"/>
      </rPr>
      <t xml:space="preserve">responsáveis e prazos </t>
    </r>
    <r>
      <rPr>
        <sz val="10"/>
        <color rgb="FF000000"/>
        <rFont val="Arial"/>
      </rPr>
      <t xml:space="preserve">de envio.
→ Use o fluxo para integrar </t>
    </r>
    <r>
      <rPr>
        <b/>
        <sz val="10"/>
        <color rgb="FF000000"/>
        <rFont val="Arial"/>
      </rPr>
      <t>CRM, automação e mídia de remarketing.</t>
    </r>
  </si>
  <si>
    <t>5.0 Pipeline Comercial</t>
  </si>
  <si>
    <t>Pipeline Comercial</t>
  </si>
  <si>
    <t>Etapa do Funil</t>
  </si>
  <si>
    <t>Descrição da Etapa</t>
  </si>
  <si>
    <t>Ação Esperada</t>
  </si>
  <si>
    <t>Responsável</t>
  </si>
  <si>
    <t>Ferramenta / Canal</t>
  </si>
  <si>
    <t>Observações</t>
  </si>
  <si>
    <t>Exemplo</t>
  </si>
  <si>
    <t>Novo Lead</t>
  </si>
  <si>
    <t>Lead que converteu em algum canal (LP, pop-up, e-mail)</t>
  </si>
  <si>
    <t>Validar dados e origem do lead</t>
  </si>
  <si>
    <t>SDR/Marketing</t>
  </si>
  <si>
    <t>Ferramenta de Automação de Marketing (RD Station)</t>
  </si>
  <si>
    <t>Validar duplicidade</t>
  </si>
  <si>
    <t>Lead baixou e-book sobre gestão de clínicas</t>
  </si>
  <si>
    <t>Lead Qualificado (MQL)</t>
  </si>
  <si>
    <t>Lead com fit dentro da persona</t>
  </si>
  <si>
    <t>Enviar para pré-vendas</t>
  </si>
  <si>
    <t>Marketing</t>
  </si>
  <si>
    <t>Segmentar por interesse</t>
  </si>
  <si>
    <t>Lead acessou LP de Trial e abriu 2 e-mails</t>
  </si>
  <si>
    <t>Contato Realizado</t>
  </si>
  <si>
    <t>Primeiro contato via e-mail/WhatsApp</t>
  </si>
  <si>
    <t>Confirmar interesse e agendar demonstração</t>
  </si>
  <si>
    <t>SDR</t>
  </si>
  <si>
    <t>CRM</t>
  </si>
  <si>
    <t>1º follow-up automático</t>
  </si>
  <si>
    <t>SDR agendou call de apresentação</t>
  </si>
  <si>
    <t>Demonstração Agendada</t>
  </si>
  <si>
    <t>Lead interessado</t>
  </si>
  <si>
    <t>Realizar demonstração da ferramenta</t>
  </si>
  <si>
    <t>Vendas</t>
  </si>
  <si>
    <t>Zoom/CRM</t>
  </si>
  <si>
    <t>Confirmar data e enviar lembrete</t>
  </si>
  <si>
    <t>Call marcada para 15/10</t>
  </si>
  <si>
    <t>Proposta Enviada</t>
  </si>
  <si>
    <t>Lead recebeu proposta comercial</t>
  </si>
  <si>
    <t>Enviar follow-up automático</t>
  </si>
  <si>
    <t>Definir prazo de validade da proposta</t>
  </si>
  <si>
    <t>Enviada proposta para 10 licenças</t>
  </si>
  <si>
    <t>Negociação</t>
  </si>
  <si>
    <t>Lead interessado, ajustando detalhes</t>
  </si>
  <si>
    <t>Negociar condições e fechar contrato</t>
  </si>
  <si>
    <t>WhatsApp/CRM</t>
  </si>
  <si>
    <t>Atualizar estágio no CRM</t>
  </si>
  <si>
    <t>Negociação de valores</t>
  </si>
  <si>
    <t>Cliente Ativo</t>
  </si>
  <si>
    <t>Contrato fechado e onboarding iniciado</t>
  </si>
  <si>
    <t>Transferir para Sucesso do Cliente</t>
  </si>
  <si>
    <t>CS</t>
  </si>
  <si>
    <t>CRM / Ferramenta de Automação de Marketing</t>
  </si>
  <si>
    <t>Enviar boas-vindas e checklist</t>
  </si>
  <si>
    <t>Acesso concedido à plataforma</t>
  </si>
  <si>
    <t>Mapear e organizar o processo de vendas em etapas claras, ajudando o time a acompanhar o avanço dos leads e identificar gargalos.</t>
  </si>
  <si>
    <r>
      <rPr>
        <sz val="10"/>
        <color rgb="FF000000"/>
        <rFont val="Arial"/>
      </rPr>
      <t xml:space="preserve">→ Ajuste as etapas de acordo com o seu </t>
    </r>
    <r>
      <rPr>
        <b/>
        <sz val="10"/>
        <color rgb="FF000000"/>
        <rFont val="Arial"/>
      </rPr>
      <t>ciclo de vendas real</t>
    </r>
    <r>
      <rPr>
        <sz val="10"/>
        <color rgb="FF000000"/>
        <rFont val="Arial"/>
      </rPr>
      <t xml:space="preserve">.
→ Construa toda a lógica e racional desse template no seu CRM.
→ Coloque para rodar e valide se o fluxo está coerente ou se precisa de algum ajuste.
</t>
    </r>
    <r>
      <rPr>
        <b/>
        <sz val="10"/>
        <color rgb="FF000000"/>
        <rFont val="Arial"/>
      </rPr>
      <t>Importante:</t>
    </r>
    <r>
      <rPr>
        <sz val="10"/>
        <color rgb="FF000000"/>
        <rFont val="Arial"/>
      </rPr>
      <t xml:space="preserve"> Use o template de jornada do consumidor para ajudar nesse processo.</t>
    </r>
  </si>
  <si>
    <t>5.1 Mapa das Automações Comerciais</t>
  </si>
  <si>
    <t>Mapa das Automações Comerciais</t>
  </si>
  <si>
    <t>Nome da Automação</t>
  </si>
  <si>
    <t>Gatilho de Entrada</t>
  </si>
  <si>
    <t>Boas-vindas Trial</t>
  </si>
  <si>
    <t>Cadastro no formulário de LP</t>
  </si>
  <si>
    <t>Enviar e-mail com instruções de acesso e suporte</t>
  </si>
  <si>
    <t>E-mail</t>
  </si>
  <si>
    <t>Engajamento inicial</t>
  </si>
  <si>
    <t>“Bem-vindo ao seu teste gratuito!”</t>
  </si>
  <si>
    <t>Lembrete de Ativação</t>
  </si>
  <si>
    <t>Lead não acessou a plataforma</t>
  </si>
  <si>
    <t>Enviar e-mail de lembrete + tutorial</t>
  </si>
  <si>
    <t>2 dias após inscrição</t>
  </si>
  <si>
    <t>Reativar inativos</t>
  </si>
  <si>
    <t>“Você já explorou as funções da plataforma?”</t>
  </si>
  <si>
    <t>Notificação de MQL</t>
  </si>
  <si>
    <t>Lead atingiu pontuação mínima (score)</t>
  </si>
  <si>
    <t>Criar tarefa no CRM e notificar SDR</t>
  </si>
  <si>
    <t>Transferência para vendas</t>
  </si>
  <si>
    <t>SDR recebe alerta: “Lead engajado!”</t>
  </si>
  <si>
    <t>Follow-up Pós Demo</t>
  </si>
  <si>
    <t>Reunião finalizada</t>
  </si>
  <si>
    <t>Enviar e-mail com resumo e link da proposta</t>
  </si>
  <si>
    <t>1 hora após a call</t>
  </si>
  <si>
    <t>“Aqui está seu plano personalizado”</t>
  </si>
  <si>
    <t>Reengajamento Trial</t>
  </si>
  <si>
    <t>Lead não converteu após 15 dias</t>
  </si>
  <si>
    <t>Enviar sequência de 2 e-mails com benefícios e cases</t>
  </si>
  <si>
    <t>3 dias após o trial</t>
  </si>
  <si>
    <t>Recuperar oportunidade</t>
  </si>
  <si>
    <t>“Veja como outras clínicas aumentaram eficiência”</t>
  </si>
  <si>
    <t>Criar automações básicas que mantenham a jornada do lead ativa, do primeiro contato até o fechamento.</t>
  </si>
  <si>
    <t>→ Defina o gatilho de entrada com base em eventos do CRM (formulário, tag, etapa do funil).
→ Use delays curtos no início e aumente gradualmente conforme o lead avança.
→ Priorize automações simples e rastreáveis antes de escalar fluxos complexos.</t>
  </si>
  <si>
    <t>5.2 Checklist de Integração CRM + Marketing</t>
  </si>
  <si>
    <t>Checklist de Integração CRM + Marketing</t>
  </si>
  <si>
    <t>Item</t>
  </si>
  <si>
    <t>Descrição</t>
  </si>
  <si>
    <t>Integração de formulários</t>
  </si>
  <si>
    <t>Conectar LPs e pop-ups ao CRM</t>
  </si>
  <si>
    <t>MKT</t>
  </si>
  <si>
    <t>Via Zapier/RD Station Forms
Ex. Leads do e-book e trial chegam direto no CRM</t>
  </si>
  <si>
    <t>Campos padronizados</t>
  </si>
  <si>
    <t>Garantir campos iguais entre CRM e automação</t>
  </si>
  <si>
    <t>MKT/CRM</t>
  </si>
  <si>
    <t>Conferir “Setor” e “Tamanho da clínica”
Ex. Evita perda de dados no pipeline</t>
  </si>
  <si>
    <t>Pontuação de lead
(lead scoring)</t>
  </si>
  <si>
    <t>Configurar critérios automáticos para MQL</t>
  </si>
  <si>
    <t>Baseado em interações e engajamento
Ex. Ainda sem definição de peso</t>
  </si>
  <si>
    <t>Notificação automática para vendas</t>
  </si>
  <si>
    <t>Enviar alerta quando um MQL for gerado</t>
  </si>
  <si>
    <t>Slack + e-mail
Ex. SDR recebe alerta em tempo real</t>
  </si>
  <si>
    <t>Automação de pós-demo</t>
  </si>
  <si>
    <t>Enviar e-mail automático após reunião</t>
  </si>
  <si>
    <t>Criado fluxo no RD Station
Ex. Reforça benefícios e CTA de fechamento</t>
  </si>
  <si>
    <t>Garantir que o CRM e as ferramentas de automação troquem dados corretamente, sem perda de leads ou duplicidades.</t>
  </si>
  <si>
    <t>→ Use a aba como painel de acompanhamento de setup.
→ Verifique periodicamente se as integrações continuam ativas após atualizações das ferramentas.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</si>
</sst>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]#,##0.00"/>
  </numFmts>
  <fonts count="6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sz val="10"/>
      <color theme="1"/>
      <name val="Arial"/>
    </font>
    <font>
      <b/>
      <sz val="10"/>
      <color rgb="FF666666"/>
      <name val="Arial"/>
    </font>
    <font>
      <sz val="12"/>
      <color rgb="FFFFFFFF"/>
      <name val="Arial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rgb="FFFFFFFF"/>
      <name val="Arial"/>
      <scheme val="minor"/>
    </font>
    <font>
      <u/>
      <sz val="10"/>
      <color theme="4"/>
      <name val="Roboto"/>
    </font>
    <font>
      <u/>
      <sz val="10"/>
      <color rgb="FF4285F4"/>
      <name val="Roboto"/>
    </font>
    <font>
      <u/>
      <sz val="10"/>
      <color theme="4"/>
      <name val="Arial"/>
      <scheme val="minor"/>
    </font>
    <font>
      <b/>
      <sz val="18"/>
      <color rgb="FF000000"/>
      <name val="Arial"/>
      <scheme val="minor"/>
    </font>
    <font>
      <sz val="10"/>
      <color rgb="FFFFFFFF"/>
      <name val="Arial"/>
    </font>
    <font>
      <sz val="10"/>
      <color rgb="FF666666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4"/>
      <color theme="1"/>
      <name val="Arial"/>
      <scheme val="minor"/>
    </font>
    <font>
      <sz val="10"/>
      <color rgb="FF666666"/>
      <name val="Arial"/>
    </font>
    <font>
      <sz val="24"/>
      <color rgb="FFFFFFFF"/>
      <name val="Helvetica Neue"/>
    </font>
    <font>
      <sz val="12"/>
      <color rgb="FFFFFFFF"/>
      <name val="Arial"/>
      <scheme val="minor"/>
    </font>
    <font>
      <sz val="18"/>
      <color rgb="FFFFFFFF"/>
      <name val="Inter"/>
    </font>
    <font>
      <b/>
      <sz val="10"/>
      <color rgb="FFFFFFFF"/>
      <name val="Arial"/>
      <scheme val="minor"/>
    </font>
    <font>
      <b/>
      <sz val="10"/>
      <color rgb="FFF3F3F3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7"/>
      <color rgb="FFFFFFFF"/>
      <name val="Verdana"/>
    </font>
    <font>
      <sz val="8"/>
      <color rgb="FFFFFFFF"/>
      <name val="Verdana"/>
    </font>
    <font>
      <b/>
      <sz val="8"/>
      <color rgb="FFFFFFFF"/>
      <name val="Arial"/>
      <scheme val="minor"/>
    </font>
    <font>
      <sz val="8"/>
      <color rgb="FF351C75"/>
      <name val="Verdana"/>
    </font>
    <font>
      <b/>
      <sz val="6"/>
      <color rgb="FF351C75"/>
      <name val="Verdana"/>
    </font>
    <font>
      <sz val="8"/>
      <color theme="1"/>
      <name val="Verdana"/>
    </font>
    <font>
      <sz val="8"/>
      <color theme="1"/>
      <name val="Arial"/>
      <scheme val="minor"/>
    </font>
    <font>
      <sz val="8"/>
      <color rgb="FFFFFFFF"/>
      <name val="Arial"/>
      <scheme val="minor"/>
    </font>
    <font>
      <b/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rgb="FF666666"/>
      <name val="Arial"/>
      <scheme val="minor"/>
    </font>
    <font>
      <b/>
      <sz val="10"/>
      <color rgb="FF666666"/>
      <name val="Arial"/>
      <scheme val="minor"/>
    </font>
    <font>
      <sz val="14"/>
      <color rgb="FFFFFFFF"/>
      <name val="Arial"/>
      <scheme val="minor"/>
    </font>
    <font>
      <b/>
      <sz val="14"/>
      <color rgb="FFFFFFFF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0"/>
      <color rgb="FF434343"/>
      <name val="Arial"/>
    </font>
    <font>
      <sz val="10"/>
      <color rgb="FF434343"/>
      <name val="Arial"/>
    </font>
    <font>
      <sz val="11"/>
      <color rgb="FFFFFFFF"/>
      <name val="Arial"/>
    </font>
    <font>
      <b/>
      <sz val="14"/>
      <color rgb="FFFFFFFF"/>
      <name val="Arial"/>
    </font>
    <font>
      <b/>
      <sz val="12"/>
      <color rgb="FF434343"/>
      <name val="Arial"/>
    </font>
    <font>
      <b/>
      <sz val="12"/>
      <color rgb="FFFFFFFF"/>
      <name val="Arial"/>
      <scheme val="minor"/>
    </font>
    <font>
      <b/>
      <sz val="12"/>
      <color rgb="FFFFFFFF"/>
      <name val="Arial"/>
    </font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b/>
      <sz val="12"/>
      <color rgb="FF666666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</fills>
  <borders count="7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/>
      <right style="thin">
        <color rgb="FF93D5E0"/>
      </right>
      <top/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93D5E0"/>
      </left>
      <right style="thin">
        <color rgb="FFFFFFFF"/>
      </right>
      <top style="thin">
        <color rgb="FF93D5E0"/>
      </top>
      <bottom/>
      <diagonal/>
    </border>
    <border>
      <left style="thin">
        <color rgb="FFFFFFFF"/>
      </left>
      <right style="thin">
        <color rgb="FFFFFFFF"/>
      </right>
      <top style="thin">
        <color rgb="FF93D5E0"/>
      </top>
      <bottom/>
      <diagonal/>
    </border>
    <border>
      <left style="thin">
        <color rgb="FFFFFFFF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93D5E0"/>
      </right>
      <top/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/>
      <bottom/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 style="thin">
        <color rgb="FF93D5E0"/>
      </bottom>
      <diagonal/>
    </border>
    <border>
      <left/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FFFFFF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FFFFFF"/>
      </bottom>
      <diagonal/>
    </border>
    <border>
      <left style="thin">
        <color rgb="FFFFFFFF"/>
      </left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93D5E0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06B3C4"/>
      </left>
      <right/>
      <top style="thin">
        <color rgb="FFFFFFFF"/>
      </top>
      <bottom/>
      <diagonal/>
    </border>
    <border>
      <left style="thin">
        <color rgb="FF06B3C4"/>
      </left>
      <right/>
      <top/>
      <bottom/>
      <diagonal/>
    </border>
    <border>
      <left style="thin">
        <color rgb="FF06B3C4"/>
      </left>
      <right/>
      <top/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thin">
        <color rgb="FFECFAFB"/>
      </left>
      <right/>
      <top/>
      <bottom/>
      <diagonal/>
    </border>
    <border>
      <left style="thin">
        <color rgb="FF93D5E0"/>
      </left>
      <right style="thin">
        <color rgb="FFECFAFB"/>
      </right>
      <top/>
      <bottom/>
      <diagonal/>
    </border>
    <border>
      <left style="thin">
        <color rgb="FF93D5E0"/>
      </left>
      <right style="thin">
        <color rgb="FFECFAFB"/>
      </right>
      <top/>
      <bottom style="thin">
        <color rgb="FF93D5E0"/>
      </bottom>
      <diagonal/>
    </border>
    <border>
      <left style="thin">
        <color rgb="FFECFAFB"/>
      </left>
      <right/>
      <top/>
      <bottom style="thin">
        <color rgb="FF93D5E0"/>
      </bottom>
      <diagonal/>
    </border>
    <border>
      <left/>
      <right style="thin">
        <color rgb="FFECFAFB"/>
      </right>
      <top/>
      <bottom style="thin">
        <color rgb="FF93D5E0"/>
      </bottom>
      <diagonal/>
    </border>
    <border>
      <left style="medium">
        <color rgb="FF93D5E0"/>
      </left>
      <right/>
      <top/>
      <bottom/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/>
    <xf numFmtId="0" fontId="8" fillId="4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vertical="top"/>
    </xf>
    <xf numFmtId="0" fontId="12" fillId="2" borderId="0" xfId="0" applyFont="1" applyFill="1" applyAlignment="1">
      <alignment vertical="top" wrapText="1"/>
    </xf>
    <xf numFmtId="0" fontId="6" fillId="2" borderId="27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28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6" fillId="0" borderId="0" xfId="0" applyFont="1"/>
    <xf numFmtId="0" fontId="1" fillId="0" borderId="0" xfId="0" applyFont="1" applyAlignment="1">
      <alignment horizontal="left" vertical="center" wrapText="1"/>
    </xf>
    <xf numFmtId="0" fontId="6" fillId="0" borderId="7" xfId="0" applyFont="1" applyBorder="1"/>
    <xf numFmtId="49" fontId="1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49" fontId="14" fillId="0" borderId="0" xfId="0" applyNumberFormat="1" applyFont="1" applyAlignment="1">
      <alignment vertical="center"/>
    </xf>
    <xf numFmtId="0" fontId="6" fillId="0" borderId="10" xfId="0" applyFont="1" applyBorder="1"/>
    <xf numFmtId="49" fontId="15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6" fillId="0" borderId="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1" xfId="0" applyFont="1" applyBorder="1"/>
    <xf numFmtId="14" fontId="4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20" fillId="0" borderId="0" xfId="0" applyFont="1"/>
    <xf numFmtId="0" fontId="22" fillId="0" borderId="0" xfId="0" applyFont="1"/>
    <xf numFmtId="0" fontId="23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/>
    </xf>
    <xf numFmtId="4" fontId="9" fillId="2" borderId="0" xfId="0" applyNumberFormat="1" applyFont="1" applyFill="1"/>
    <xf numFmtId="0" fontId="24" fillId="2" borderId="31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1" fillId="2" borderId="31" xfId="0" applyFont="1" applyFill="1" applyBorder="1"/>
    <xf numFmtId="0" fontId="1" fillId="0" borderId="31" xfId="0" applyFont="1" applyBorder="1"/>
    <xf numFmtId="0" fontId="27" fillId="2" borderId="31" xfId="0" applyFont="1" applyFill="1" applyBorder="1" applyAlignment="1">
      <alignment horizontal="center"/>
    </xf>
    <xf numFmtId="0" fontId="1" fillId="0" borderId="32" xfId="0" applyFont="1" applyBorder="1"/>
    <xf numFmtId="0" fontId="1" fillId="2" borderId="9" xfId="0" applyFont="1" applyFill="1" applyBorder="1"/>
    <xf numFmtId="0" fontId="1" fillId="0" borderId="11" xfId="0" applyFont="1" applyBorder="1"/>
    <xf numFmtId="0" fontId="36" fillId="5" borderId="31" xfId="0" applyFont="1" applyFill="1" applyBorder="1" applyAlignment="1">
      <alignment horizontal="center" vertical="center"/>
    </xf>
    <xf numFmtId="0" fontId="35" fillId="5" borderId="31" xfId="0" applyFont="1" applyFill="1" applyBorder="1" applyAlignment="1">
      <alignment horizontal="center" vertical="center"/>
    </xf>
    <xf numFmtId="10" fontId="37" fillId="5" borderId="31" xfId="0" applyNumberFormat="1" applyFont="1" applyFill="1" applyBorder="1" applyAlignment="1">
      <alignment horizontal="center" vertical="center"/>
    </xf>
    <xf numFmtId="164" fontId="37" fillId="5" borderId="39" xfId="0" applyNumberFormat="1" applyFont="1" applyFill="1" applyBorder="1" applyAlignment="1">
      <alignment horizontal="center" vertical="center"/>
    </xf>
    <xf numFmtId="164" fontId="37" fillId="2" borderId="40" xfId="0" applyNumberFormat="1" applyFont="1" applyFill="1" applyBorder="1" applyAlignment="1">
      <alignment horizontal="center" vertical="center"/>
    </xf>
    <xf numFmtId="164" fontId="37" fillId="2" borderId="41" xfId="0" applyNumberFormat="1" applyFont="1" applyFill="1" applyBorder="1" applyAlignment="1">
      <alignment horizontal="center" vertical="center"/>
    </xf>
    <xf numFmtId="0" fontId="35" fillId="5" borderId="42" xfId="0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64" fontId="37" fillId="5" borderId="43" xfId="0" applyNumberFormat="1" applyFont="1" applyFill="1" applyBorder="1" applyAlignment="1">
      <alignment horizontal="center" vertical="center"/>
    </xf>
    <xf numFmtId="164" fontId="37" fillId="2" borderId="16" xfId="0" applyNumberFormat="1" applyFont="1" applyFill="1" applyBorder="1" applyAlignment="1">
      <alignment horizontal="center" vertical="center"/>
    </xf>
    <xf numFmtId="164" fontId="37" fillId="2" borderId="45" xfId="0" applyNumberFormat="1" applyFont="1" applyFill="1" applyBorder="1" applyAlignment="1">
      <alignment horizontal="center" vertical="center"/>
    </xf>
    <xf numFmtId="164" fontId="37" fillId="2" borderId="17" xfId="0" applyNumberFormat="1" applyFont="1" applyFill="1" applyBorder="1" applyAlignment="1">
      <alignment horizontal="center" vertical="center"/>
    </xf>
    <xf numFmtId="164" fontId="37" fillId="5" borderId="46" xfId="0" applyNumberFormat="1" applyFont="1" applyFill="1" applyBorder="1" applyAlignment="1">
      <alignment horizontal="center" vertical="center"/>
    </xf>
    <xf numFmtId="164" fontId="37" fillId="2" borderId="47" xfId="0" applyNumberFormat="1" applyFont="1" applyFill="1" applyBorder="1" applyAlignment="1">
      <alignment horizontal="center" vertical="center"/>
    </xf>
    <xf numFmtId="164" fontId="37" fillId="2" borderId="48" xfId="0" applyNumberFormat="1" applyFont="1" applyFill="1" applyBorder="1" applyAlignment="1">
      <alignment horizontal="center" vertical="center"/>
    </xf>
    <xf numFmtId="10" fontId="39" fillId="4" borderId="52" xfId="0" applyNumberFormat="1" applyFont="1" applyFill="1" applyBorder="1" applyAlignment="1">
      <alignment horizontal="center" vertical="center"/>
    </xf>
    <xf numFmtId="164" fontId="39" fillId="4" borderId="52" xfId="0" applyNumberFormat="1" applyFont="1" applyFill="1" applyBorder="1" applyAlignment="1">
      <alignment horizontal="center" vertical="center"/>
    </xf>
    <xf numFmtId="164" fontId="37" fillId="4" borderId="52" xfId="0" applyNumberFormat="1" applyFont="1" applyFill="1" applyBorder="1" applyAlignment="1">
      <alignment horizontal="center" vertical="center"/>
    </xf>
    <xf numFmtId="164" fontId="40" fillId="4" borderId="52" xfId="0" applyNumberFormat="1" applyFont="1" applyFill="1" applyBorder="1" applyAlignment="1">
      <alignment horizontal="center" vertical="center"/>
    </xf>
    <xf numFmtId="0" fontId="37" fillId="4" borderId="52" xfId="0" applyFont="1" applyFill="1" applyBorder="1" applyAlignment="1">
      <alignment horizontal="center" vertical="center"/>
    </xf>
    <xf numFmtId="164" fontId="37" fillId="4" borderId="53" xfId="0" applyNumberFormat="1" applyFont="1" applyFill="1" applyBorder="1" applyAlignment="1">
      <alignment horizontal="center" vertical="center"/>
    </xf>
    <xf numFmtId="0" fontId="36" fillId="5" borderId="54" xfId="0" applyFont="1" applyFill="1" applyBorder="1" applyAlignment="1">
      <alignment horizontal="center" vertical="center"/>
    </xf>
    <xf numFmtId="0" fontId="35" fillId="5" borderId="54" xfId="0" applyFont="1" applyFill="1" applyBorder="1" applyAlignment="1">
      <alignment horizontal="center" vertical="center" wrapText="1"/>
    </xf>
    <xf numFmtId="10" fontId="37" fillId="5" borderId="54" xfId="0" applyNumberFormat="1" applyFont="1" applyFill="1" applyBorder="1" applyAlignment="1">
      <alignment horizontal="center" vertical="center"/>
    </xf>
    <xf numFmtId="164" fontId="37" fillId="5" borderId="47" xfId="0" applyNumberFormat="1" applyFont="1" applyFill="1" applyBorder="1" applyAlignment="1">
      <alignment horizontal="center" vertical="center"/>
    </xf>
    <xf numFmtId="164" fontId="37" fillId="2" borderId="55" xfId="0" applyNumberFormat="1" applyFont="1" applyFill="1" applyBorder="1" applyAlignment="1">
      <alignment horizontal="center" vertical="center"/>
    </xf>
    <xf numFmtId="0" fontId="35" fillId="5" borderId="56" xfId="0" applyFont="1" applyFill="1" applyBorder="1" applyAlignment="1">
      <alignment horizontal="center" vertical="center"/>
    </xf>
    <xf numFmtId="0" fontId="38" fillId="5" borderId="54" xfId="0" applyFont="1" applyFill="1" applyBorder="1" applyAlignment="1">
      <alignment horizontal="center" vertical="center"/>
    </xf>
    <xf numFmtId="164" fontId="37" fillId="5" borderId="57" xfId="0" applyNumberFormat="1" applyFont="1" applyFill="1" applyBorder="1" applyAlignment="1">
      <alignment horizontal="center" vertical="center"/>
    </xf>
    <xf numFmtId="0" fontId="35" fillId="5" borderId="31" xfId="0" applyFont="1" applyFill="1" applyBorder="1" applyAlignment="1">
      <alignment horizontal="center" vertical="center" wrapText="1"/>
    </xf>
    <xf numFmtId="164" fontId="37" fillId="2" borderId="20" xfId="0" applyNumberFormat="1" applyFont="1" applyFill="1" applyBorder="1" applyAlignment="1">
      <alignment horizontal="center" vertical="center"/>
    </xf>
    <xf numFmtId="164" fontId="37" fillId="2" borderId="18" xfId="0" applyNumberFormat="1" applyFont="1" applyFill="1" applyBorder="1" applyAlignment="1">
      <alignment horizontal="center" vertical="center"/>
    </xf>
    <xf numFmtId="164" fontId="37" fillId="2" borderId="58" xfId="0" applyNumberFormat="1" applyFont="1" applyFill="1" applyBorder="1" applyAlignment="1">
      <alignment horizontal="center" vertical="center"/>
    </xf>
    <xf numFmtId="164" fontId="37" fillId="4" borderId="59" xfId="0" applyNumberFormat="1" applyFont="1" applyFill="1" applyBorder="1" applyAlignment="1">
      <alignment horizontal="center" vertical="center"/>
    </xf>
    <xf numFmtId="10" fontId="39" fillId="3" borderId="61" xfId="0" applyNumberFormat="1" applyFont="1" applyFill="1" applyBorder="1" applyAlignment="1">
      <alignment horizontal="center" vertical="center"/>
    </xf>
    <xf numFmtId="164" fontId="34" fillId="3" borderId="61" xfId="0" applyNumberFormat="1" applyFont="1" applyFill="1" applyBorder="1" applyAlignment="1">
      <alignment horizontal="center" vertical="center"/>
    </xf>
    <xf numFmtId="164" fontId="41" fillId="3" borderId="62" xfId="0" applyNumberFormat="1" applyFont="1" applyFill="1" applyBorder="1" applyAlignment="1">
      <alignment horizontal="center" vertical="center"/>
    </xf>
    <xf numFmtId="0" fontId="19" fillId="0" borderId="31" xfId="0" applyFont="1" applyBorder="1"/>
    <xf numFmtId="0" fontId="1" fillId="0" borderId="9" xfId="0" applyFont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/>
    <xf numFmtId="0" fontId="44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48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vertical="center" wrapText="1"/>
    </xf>
    <xf numFmtId="20" fontId="48" fillId="2" borderId="0" xfId="0" applyNumberFormat="1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top" wrapText="1"/>
    </xf>
    <xf numFmtId="0" fontId="56" fillId="2" borderId="0" xfId="0" applyFont="1" applyFill="1" applyAlignment="1">
      <alignment horizontal="left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9" fillId="2" borderId="18" xfId="0" applyFont="1" applyFill="1" applyBorder="1" applyAlignment="1">
      <alignment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7" fillId="0" borderId="9" xfId="0" applyFont="1" applyBorder="1" applyAlignment="1">
      <alignment wrapText="1"/>
    </xf>
    <xf numFmtId="0" fontId="8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2" borderId="0" xfId="0" applyFont="1" applyFill="1"/>
    <xf numFmtId="0" fontId="8" fillId="4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3" fillId="0" borderId="27" xfId="0" applyFont="1" applyBorder="1"/>
    <xf numFmtId="0" fontId="2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5" borderId="9" xfId="0" applyFont="1" applyFill="1" applyBorder="1" applyAlignment="1">
      <alignment horizontal="center" vertical="center"/>
    </xf>
    <xf numFmtId="164" fontId="23" fillId="5" borderId="9" xfId="0" applyNumberFormat="1" applyFont="1" applyFill="1" applyBorder="1" applyAlignment="1">
      <alignment horizontal="center" vertical="center"/>
    </xf>
    <xf numFmtId="10" fontId="23" fillId="5" borderId="9" xfId="0" applyNumberFormat="1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164" fontId="31" fillId="3" borderId="9" xfId="0" applyNumberFormat="1" applyFont="1" applyFill="1" applyBorder="1" applyAlignment="1">
      <alignment horizontal="center" vertical="center"/>
    </xf>
    <xf numFmtId="10" fontId="31" fillId="3" borderId="9" xfId="0" applyNumberFormat="1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33" fillId="4" borderId="32" xfId="0" applyFont="1" applyFill="1" applyBorder="1" applyAlignment="1">
      <alignment horizontal="center" vertical="center"/>
    </xf>
    <xf numFmtId="0" fontId="3" fillId="0" borderId="29" xfId="0" applyFont="1" applyBorder="1"/>
    <xf numFmtId="0" fontId="33" fillId="3" borderId="32" xfId="0" applyFont="1" applyFill="1" applyBorder="1" applyAlignment="1">
      <alignment horizontal="center" vertical="center"/>
    </xf>
    <xf numFmtId="0" fontId="34" fillId="3" borderId="34" xfId="0" applyFont="1" applyFill="1" applyBorder="1" applyAlignment="1">
      <alignment horizontal="center" vertical="center"/>
    </xf>
    <xf numFmtId="0" fontId="34" fillId="3" borderId="35" xfId="0" applyFont="1" applyFill="1" applyBorder="1" applyAlignment="1">
      <alignment horizontal="center" vertical="center"/>
    </xf>
    <xf numFmtId="0" fontId="3" fillId="0" borderId="37" xfId="0" applyFont="1" applyBorder="1"/>
    <xf numFmtId="0" fontId="27" fillId="4" borderId="7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32" fillId="3" borderId="33" xfId="0" applyFont="1" applyFill="1" applyBorder="1" applyAlignment="1">
      <alignment horizontal="center" vertical="center"/>
    </xf>
    <xf numFmtId="0" fontId="3" fillId="0" borderId="36" xfId="0" applyFont="1" applyBorder="1"/>
    <xf numFmtId="0" fontId="32" fillId="3" borderId="34" xfId="0" applyFont="1" applyFill="1" applyBorder="1" applyAlignment="1">
      <alignment horizontal="center" vertical="center" wrapText="1"/>
    </xf>
    <xf numFmtId="0" fontId="35" fillId="5" borderId="3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9" fillId="4" borderId="49" xfId="0" applyFont="1" applyFill="1" applyBorder="1" applyAlignment="1">
      <alignment horizontal="center" vertical="center"/>
    </xf>
    <xf numFmtId="0" fontId="3" fillId="0" borderId="50" xfId="0" applyFont="1" applyBorder="1"/>
    <xf numFmtId="0" fontId="3" fillId="0" borderId="51" xfId="0" applyFont="1" applyBorder="1"/>
    <xf numFmtId="0" fontId="35" fillId="5" borderId="38" xfId="0" applyFont="1" applyFill="1" applyBorder="1" applyAlignment="1">
      <alignment horizontal="center" vertical="center" wrapText="1"/>
    </xf>
    <xf numFmtId="0" fontId="38" fillId="0" borderId="7" xfId="0" applyFont="1" applyBorder="1"/>
    <xf numFmtId="0" fontId="25" fillId="4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vertical="center"/>
    </xf>
    <xf numFmtId="0" fontId="28" fillId="3" borderId="9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" fillId="0" borderId="60" xfId="0" applyFont="1" applyBorder="1"/>
    <xf numFmtId="0" fontId="42" fillId="2" borderId="7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43" fillId="0" borderId="9" xfId="0" applyFont="1" applyBorder="1"/>
    <xf numFmtId="0" fontId="19" fillId="0" borderId="63" xfId="0" applyFont="1" applyBorder="1" applyAlignment="1">
      <alignment vertical="center"/>
    </xf>
    <xf numFmtId="0" fontId="3" fillId="0" borderId="64" xfId="0" applyFont="1" applyBorder="1"/>
    <xf numFmtId="0" fontId="3" fillId="0" borderId="65" xfId="0" applyFont="1" applyBorder="1"/>
    <xf numFmtId="0" fontId="49" fillId="5" borderId="25" xfId="0" applyFont="1" applyFill="1" applyBorder="1" applyAlignment="1">
      <alignment horizontal="center" vertical="center" wrapText="1"/>
    </xf>
    <xf numFmtId="0" fontId="50" fillId="2" borderId="25" xfId="0" applyFont="1" applyFill="1" applyBorder="1" applyAlignment="1">
      <alignment vertical="center" wrapText="1"/>
    </xf>
    <xf numFmtId="0" fontId="48" fillId="2" borderId="25" xfId="0" applyFont="1" applyFill="1" applyBorder="1" applyAlignment="1">
      <alignment horizontal="left" vertical="center" wrapText="1"/>
    </xf>
    <xf numFmtId="0" fontId="52" fillId="4" borderId="0" xfId="0" applyFont="1" applyFill="1" applyAlignment="1">
      <alignment horizontal="center" vertical="center" wrapText="1"/>
    </xf>
    <xf numFmtId="0" fontId="19" fillId="2" borderId="66" xfId="0" applyFont="1" applyFill="1" applyBorder="1" applyAlignment="1">
      <alignment horizontal="left" vertical="center" wrapText="1"/>
    </xf>
    <xf numFmtId="0" fontId="3" fillId="0" borderId="66" xfId="0" applyFont="1" applyBorder="1"/>
    <xf numFmtId="0" fontId="46" fillId="4" borderId="4" xfId="0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center" vertical="center" wrapText="1"/>
    </xf>
    <xf numFmtId="0" fontId="45" fillId="4" borderId="0" xfId="0" applyFont="1" applyFill="1" applyAlignment="1">
      <alignment horizontal="center" vertical="center" wrapText="1"/>
    </xf>
    <xf numFmtId="0" fontId="47" fillId="5" borderId="25" xfId="0" applyFont="1" applyFill="1" applyBorder="1" applyAlignment="1">
      <alignment horizontal="center" vertical="center" wrapText="1"/>
    </xf>
    <xf numFmtId="3" fontId="50" fillId="2" borderId="25" xfId="0" applyNumberFormat="1" applyFont="1" applyFill="1" applyBorder="1" applyAlignment="1">
      <alignment vertical="center" wrapText="1"/>
    </xf>
    <xf numFmtId="3" fontId="48" fillId="2" borderId="25" xfId="0" applyNumberFormat="1" applyFont="1" applyFill="1" applyBorder="1" applyAlignment="1">
      <alignment horizontal="left" vertical="center" wrapText="1"/>
    </xf>
    <xf numFmtId="0" fontId="50" fillId="2" borderId="25" xfId="0" applyFont="1" applyFill="1" applyBorder="1" applyAlignment="1">
      <alignment horizontal="left" vertical="center" wrapText="1"/>
    </xf>
    <xf numFmtId="0" fontId="51" fillId="4" borderId="4" xfId="0" applyFont="1" applyFill="1" applyBorder="1" applyAlignment="1">
      <alignment horizontal="center" vertical="center" wrapText="1"/>
    </xf>
    <xf numFmtId="0" fontId="45" fillId="4" borderId="5" xfId="0" applyFont="1" applyFill="1" applyBorder="1" applyAlignment="1">
      <alignment horizontal="center" vertical="center" wrapText="1"/>
    </xf>
    <xf numFmtId="0" fontId="45" fillId="4" borderId="4" xfId="0" applyFont="1" applyFill="1" applyBorder="1" applyAlignment="1">
      <alignment horizontal="center" vertical="center" wrapText="1"/>
    </xf>
    <xf numFmtId="0" fontId="53" fillId="5" borderId="0" xfId="0" applyFont="1" applyFill="1" applyAlignment="1">
      <alignment vertical="center" textRotation="255" wrapText="1"/>
    </xf>
    <xf numFmtId="0" fontId="48" fillId="2" borderId="0" xfId="0" applyFont="1" applyFill="1" applyAlignment="1">
      <alignment horizontal="left" vertical="center" wrapText="1"/>
    </xf>
    <xf numFmtId="0" fontId="53" fillId="3" borderId="0" xfId="0" applyFont="1" applyFill="1" applyAlignment="1">
      <alignment vertical="center" textRotation="255" wrapText="1"/>
    </xf>
    <xf numFmtId="0" fontId="19" fillId="2" borderId="66" xfId="0" applyFont="1" applyFill="1" applyBorder="1" applyAlignment="1">
      <alignment horizontal="left" vertical="top" wrapText="1"/>
    </xf>
    <xf numFmtId="0" fontId="47" fillId="5" borderId="67" xfId="0" applyFont="1" applyFill="1" applyBorder="1" applyAlignment="1">
      <alignment horizontal="center" vertical="center" wrapText="1"/>
    </xf>
    <xf numFmtId="0" fontId="3" fillId="0" borderId="67" xfId="0" applyFont="1" applyBorder="1"/>
    <xf numFmtId="0" fontId="3" fillId="0" borderId="70" xfId="0" applyFont="1" applyBorder="1"/>
    <xf numFmtId="0" fontId="47" fillId="5" borderId="68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48" fillId="2" borderId="18" xfId="0" applyFont="1" applyFill="1" applyBorder="1" applyAlignment="1">
      <alignment horizontal="left" vertical="center" wrapText="1"/>
    </xf>
    <xf numFmtId="0" fontId="47" fillId="4" borderId="22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54" fillId="4" borderId="4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/>
    </xf>
    <xf numFmtId="0" fontId="56" fillId="2" borderId="72" xfId="0" applyFont="1" applyFill="1" applyBorder="1" applyAlignment="1">
      <alignment horizontal="left" vertical="center" wrapText="1"/>
    </xf>
    <xf numFmtId="0" fontId="3" fillId="0" borderId="72" xfId="0" applyFont="1" applyBorder="1"/>
    <xf numFmtId="0" fontId="48" fillId="2" borderId="26" xfId="0" applyFont="1" applyFill="1" applyBorder="1" applyAlignment="1">
      <alignment horizontal="center" vertical="center" wrapText="1"/>
    </xf>
    <xf numFmtId="10" fontId="48" fillId="2" borderId="26" xfId="0" applyNumberFormat="1" applyFont="1" applyFill="1" applyBorder="1" applyAlignment="1">
      <alignment horizontal="left" vertical="center" wrapText="1"/>
    </xf>
    <xf numFmtId="0" fontId="48" fillId="5" borderId="25" xfId="0" applyFont="1" applyFill="1" applyBorder="1" applyAlignment="1">
      <alignment horizontal="center" vertical="center" wrapText="1"/>
    </xf>
    <xf numFmtId="0" fontId="50" fillId="5" borderId="25" xfId="0" applyFont="1" applyFill="1" applyBorder="1" applyAlignment="1">
      <alignment horizontal="center" vertical="center" wrapText="1"/>
    </xf>
    <xf numFmtId="0" fontId="48" fillId="2" borderId="26" xfId="0" applyFont="1" applyFill="1" applyBorder="1" applyAlignment="1">
      <alignment horizontal="left" vertical="center" wrapText="1"/>
    </xf>
    <xf numFmtId="0" fontId="57" fillId="4" borderId="4" xfId="0" applyFont="1" applyFill="1" applyBorder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57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55" fillId="4" borderId="4" xfId="0" applyFont="1" applyFill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50" fillId="2" borderId="18" xfId="0" applyFont="1" applyFill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48" fillId="2" borderId="19" xfId="0" applyFont="1" applyFill="1" applyBorder="1" applyAlignment="1">
      <alignment horizontal="left" vertical="center" wrapText="1"/>
    </xf>
    <xf numFmtId="0" fontId="50" fillId="2" borderId="19" xfId="0" applyFont="1" applyFill="1" applyBorder="1" applyAlignment="1">
      <alignment vertical="center" wrapText="1"/>
    </xf>
    <xf numFmtId="0" fontId="1" fillId="0" borderId="18" xfId="0" applyFont="1" applyBorder="1" applyAlignment="1">
      <alignment vertical="center"/>
    </xf>
    <xf numFmtId="0" fontId="50" fillId="2" borderId="0" xfId="0" applyFont="1" applyFill="1" applyAlignment="1">
      <alignment vertical="center" wrapText="1"/>
    </xf>
    <xf numFmtId="0" fontId="47" fillId="5" borderId="17" xfId="0" applyFont="1" applyFill="1" applyBorder="1" applyAlignment="1">
      <alignment horizontal="center" vertical="center" wrapText="1"/>
    </xf>
    <xf numFmtId="0" fontId="47" fillId="5" borderId="18" xfId="0" applyFont="1" applyFill="1" applyBorder="1" applyAlignment="1">
      <alignment horizontal="center" vertical="center" wrapText="1"/>
    </xf>
    <xf numFmtId="0" fontId="47" fillId="5" borderId="26" xfId="0" applyFont="1" applyFill="1" applyBorder="1" applyAlignment="1">
      <alignment horizontal="center" vertical="center" wrapText="1"/>
    </xf>
    <xf numFmtId="0" fontId="3" fillId="0" borderId="25" xfId="0" applyFont="1" applyBorder="1"/>
  </cellXfs>
  <cellStyles count="1">
    <cellStyle name="Normal" xfId="0" builtinId="0"/>
  </cellStyles>
  <dxfs count="4">
    <dxf>
      <border>
        <left style="thin">
          <color rgb="FF0AB3C4"/>
        </left>
        <right style="thin">
          <color rgb="FF0AB3C4"/>
        </right>
        <top style="thin">
          <color rgb="FF0AB3C4"/>
        </top>
        <bottom style="thin">
          <color rgb="FF0AB3C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AB3C4"/>
          <bgColor rgb="FF0AB3C4"/>
        </patternFill>
      </fill>
    </dxf>
  </dxfs>
  <tableStyles count="1">
    <tableStyle name="1.0 Calendário 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190500</xdr:rowOff>
    </xdr:from>
    <xdr:ext cx="2886075" cy="1190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819150</xdr:colOff>
      <xdr:row>15</xdr:row>
      <xdr:rowOff>66675</xdr:rowOff>
    </xdr:from>
    <xdr:ext cx="5162550" cy="3190875"/>
    <xdr:pic>
      <xdr:nvPicPr>
        <xdr:cNvPr id="2145855190" name="Chart1" title="Gráfico">
          <a:extLst>
            <a:ext uri="{FF2B5EF4-FFF2-40B4-BE49-F238E27FC236}">
              <a16:creationId xmlns:a16="http://schemas.microsoft.com/office/drawing/2014/main" id="{00000000-0008-0000-0200-0000D626E77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ário_Editorial" displayName="Calendário_Editorial" ref="A13:F23">
  <tableColumns count="6">
    <tableColumn id="1" xr3:uid="{00000000-0010-0000-0000-000001000000}" name="Conteúdo"/>
    <tableColumn id="2" xr3:uid="{00000000-0010-0000-0000-000002000000}" name="Fase"/>
    <tableColumn id="3" xr3:uid="{00000000-0010-0000-0000-000003000000}" name="Detalhes"/>
    <tableColumn id="4" xr3:uid="{00000000-0010-0000-0000-000004000000}" name="Status"/>
    <tableColumn id="5" xr3:uid="{00000000-0010-0000-0000-000005000000}" name="Data "/>
    <tableColumn id="6" xr3:uid="{00000000-0010-0000-0000-000006000000}" name="Link da Tarefa"/>
  </tableColumns>
  <tableStyleInfo name="1.0 Calendário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asana.com/1/1148641951326239/project/1211731077549144/task/1211743350425436" TargetMode="External"/><Relationship Id="rId3" Type="http://schemas.openxmlformats.org/officeDocument/2006/relationships/hyperlink" Target="https://app.asana.com/1/1148641951326239/project/1211731077549144/task/1211731077549186" TargetMode="External"/><Relationship Id="rId7" Type="http://schemas.openxmlformats.org/officeDocument/2006/relationships/hyperlink" Target="https://app.asana.com/1/1148641951326239/project/1211731077549144/task/1211731077549190" TargetMode="External"/><Relationship Id="rId2" Type="http://schemas.openxmlformats.org/officeDocument/2006/relationships/hyperlink" Target="https://app.asana.com/1/1148641951326239/project/1211731077549144/task/1211731077549161" TargetMode="External"/><Relationship Id="rId1" Type="http://schemas.openxmlformats.org/officeDocument/2006/relationships/hyperlink" Target="https://app.asana.com/1/1148641951326239/project/1211731077549144/task/1211731077549159" TargetMode="External"/><Relationship Id="rId6" Type="http://schemas.openxmlformats.org/officeDocument/2006/relationships/hyperlink" Target="https://app.asana.com/1/1148641951326239/project/1211731077549144/task/1211731077549163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app.asana.com/1/1148641951326239/project/1211731077549144/task/1211731077549180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app.asana.com/1/1148641951326239/project/1211731077549144/task/1211731077549178" TargetMode="External"/><Relationship Id="rId9" Type="http://schemas.openxmlformats.org/officeDocument/2006/relationships/hyperlink" Target="https://app.asana.com/1/1148641951326239/project/1211731077549144/task/12117433504254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workbookViewId="0"/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13"/>
      <c r="B3" s="114"/>
      <c r="C3" s="114"/>
      <c r="D3" s="115" t="s">
        <v>0</v>
      </c>
      <c r="E3" s="116"/>
      <c r="F3" s="116"/>
      <c r="G3" s="116"/>
      <c r="H3" s="116"/>
      <c r="I3" s="116"/>
      <c r="J3" s="116"/>
      <c r="K3" s="116"/>
      <c r="L3" s="116"/>
      <c r="M3" s="116"/>
      <c r="N3" s="117"/>
      <c r="O3" s="1"/>
    </row>
    <row r="4" spans="1:15" ht="12.75">
      <c r="A4" s="114"/>
      <c r="B4" s="114"/>
      <c r="C4" s="114"/>
      <c r="D4" s="118"/>
      <c r="E4" s="114"/>
      <c r="F4" s="114"/>
      <c r="G4" s="114"/>
      <c r="H4" s="114"/>
      <c r="I4" s="114"/>
      <c r="J4" s="114"/>
      <c r="K4" s="114"/>
      <c r="L4" s="114"/>
      <c r="M4" s="114"/>
      <c r="N4" s="119"/>
      <c r="O4" s="1"/>
    </row>
    <row r="5" spans="1:15" ht="12.75">
      <c r="A5" s="114"/>
      <c r="B5" s="114"/>
      <c r="C5" s="114"/>
      <c r="D5" s="118"/>
      <c r="E5" s="114"/>
      <c r="F5" s="114"/>
      <c r="G5" s="114"/>
      <c r="H5" s="114"/>
      <c r="I5" s="114"/>
      <c r="J5" s="114"/>
      <c r="K5" s="114"/>
      <c r="L5" s="114"/>
      <c r="M5" s="114"/>
      <c r="N5" s="119"/>
      <c r="O5" s="1"/>
    </row>
    <row r="6" spans="1:15" ht="12.75">
      <c r="A6" s="114"/>
      <c r="B6" s="114"/>
      <c r="C6" s="114"/>
      <c r="D6" s="120"/>
      <c r="E6" s="121"/>
      <c r="F6" s="121"/>
      <c r="G6" s="121"/>
      <c r="H6" s="121"/>
      <c r="I6" s="121"/>
      <c r="J6" s="121"/>
      <c r="K6" s="121"/>
      <c r="L6" s="121"/>
      <c r="M6" s="121"/>
      <c r="N6" s="122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31"/>
      <c r="B9" s="114"/>
      <c r="C9" s="11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23" t="s">
        <v>1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5"/>
      <c r="N10" s="6"/>
      <c r="O10" s="6"/>
    </row>
    <row r="11" spans="1:15" ht="12.75">
      <c r="A11" s="3"/>
      <c r="B11" s="126" t="s">
        <v>2</v>
      </c>
      <c r="C11" s="124"/>
      <c r="D11" s="124"/>
      <c r="E11" s="124"/>
      <c r="F11" s="124"/>
      <c r="G11" s="124"/>
      <c r="H11" s="124"/>
      <c r="I11" s="124"/>
      <c r="J11" s="125"/>
      <c r="K11" s="6"/>
      <c r="L11" s="6"/>
      <c r="M11" s="6"/>
      <c r="N11" s="6"/>
      <c r="O11" s="6"/>
    </row>
    <row r="12" spans="1:15" ht="12.75">
      <c r="A12" s="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2.75">
      <c r="A13" s="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22.5" customHeight="1">
      <c r="A14" s="3"/>
      <c r="B14" s="7" t="s">
        <v>3</v>
      </c>
      <c r="C14" s="127" t="s">
        <v>4</v>
      </c>
      <c r="D14" s="128"/>
      <c r="E14" s="128"/>
      <c r="F14" s="129"/>
      <c r="G14" s="127" t="s">
        <v>5</v>
      </c>
      <c r="H14" s="128"/>
      <c r="I14" s="128"/>
      <c r="J14" s="129"/>
      <c r="K14" s="127" t="s">
        <v>6</v>
      </c>
      <c r="L14" s="128"/>
      <c r="M14" s="128"/>
      <c r="N14" s="130"/>
      <c r="O14" s="6"/>
    </row>
    <row r="15" spans="1:15" ht="22.5" customHeight="1">
      <c r="A15" s="131"/>
      <c r="B15" s="105">
        <v>1</v>
      </c>
      <c r="C15" s="107" t="s">
        <v>7</v>
      </c>
      <c r="D15" s="108"/>
      <c r="E15" s="108"/>
      <c r="F15" s="109"/>
      <c r="G15" s="107" t="s">
        <v>8</v>
      </c>
      <c r="H15" s="108"/>
      <c r="I15" s="108"/>
      <c r="J15" s="109"/>
      <c r="K15" s="107" t="s">
        <v>9</v>
      </c>
      <c r="L15" s="108"/>
      <c r="M15" s="108"/>
      <c r="N15" s="109"/>
      <c r="O15" s="6"/>
    </row>
    <row r="16" spans="1:15" ht="22.5" customHeight="1">
      <c r="A16" s="114"/>
      <c r="B16" s="106"/>
      <c r="C16" s="110"/>
      <c r="D16" s="111"/>
      <c r="E16" s="111"/>
      <c r="F16" s="112"/>
      <c r="G16" s="110"/>
      <c r="H16" s="111"/>
      <c r="I16" s="111"/>
      <c r="J16" s="112"/>
      <c r="K16" s="110"/>
      <c r="L16" s="111"/>
      <c r="M16" s="111"/>
      <c r="N16" s="112"/>
      <c r="O16" s="6"/>
    </row>
    <row r="17" spans="1:15" ht="22.5" customHeight="1">
      <c r="A17" s="114"/>
      <c r="B17" s="105">
        <v>2</v>
      </c>
      <c r="C17" s="107" t="s">
        <v>10</v>
      </c>
      <c r="D17" s="108"/>
      <c r="E17" s="108"/>
      <c r="F17" s="109"/>
      <c r="G17" s="107" t="s">
        <v>11</v>
      </c>
      <c r="H17" s="108"/>
      <c r="I17" s="108"/>
      <c r="J17" s="109"/>
      <c r="K17" s="107" t="s">
        <v>12</v>
      </c>
      <c r="L17" s="108"/>
      <c r="M17" s="108"/>
      <c r="N17" s="109"/>
      <c r="O17" s="6"/>
    </row>
    <row r="18" spans="1:15" ht="22.5" customHeight="1">
      <c r="A18" s="114"/>
      <c r="B18" s="106"/>
      <c r="C18" s="110"/>
      <c r="D18" s="111"/>
      <c r="E18" s="111"/>
      <c r="F18" s="112"/>
      <c r="G18" s="110"/>
      <c r="H18" s="111"/>
      <c r="I18" s="111"/>
      <c r="J18" s="112"/>
      <c r="K18" s="110"/>
      <c r="L18" s="111"/>
      <c r="M18" s="111"/>
      <c r="N18" s="112"/>
      <c r="O18" s="6"/>
    </row>
    <row r="19" spans="1:15" ht="22.5" customHeight="1">
      <c r="A19" s="114"/>
      <c r="B19" s="105">
        <v>3</v>
      </c>
      <c r="C19" s="107" t="s">
        <v>13</v>
      </c>
      <c r="D19" s="108"/>
      <c r="E19" s="108"/>
      <c r="F19" s="109"/>
      <c r="G19" s="107" t="s">
        <v>14</v>
      </c>
      <c r="H19" s="108"/>
      <c r="I19" s="108"/>
      <c r="J19" s="109"/>
      <c r="K19" s="107" t="s">
        <v>15</v>
      </c>
      <c r="L19" s="108"/>
      <c r="M19" s="108"/>
      <c r="N19" s="109"/>
      <c r="O19" s="6"/>
    </row>
    <row r="20" spans="1:15" ht="22.5" customHeight="1">
      <c r="A20" s="8"/>
      <c r="B20" s="106"/>
      <c r="C20" s="110"/>
      <c r="D20" s="111"/>
      <c r="E20" s="111"/>
      <c r="F20" s="112"/>
      <c r="G20" s="110"/>
      <c r="H20" s="111"/>
      <c r="I20" s="111"/>
      <c r="J20" s="112"/>
      <c r="K20" s="110"/>
      <c r="L20" s="111"/>
      <c r="M20" s="111"/>
      <c r="N20" s="112"/>
      <c r="O20" s="6"/>
    </row>
    <row r="21" spans="1:15" ht="22.5" customHeight="1">
      <c r="A21" s="9"/>
      <c r="B21" s="105">
        <v>4</v>
      </c>
      <c r="C21" s="107" t="s">
        <v>16</v>
      </c>
      <c r="D21" s="108"/>
      <c r="E21" s="108"/>
      <c r="F21" s="109"/>
      <c r="G21" s="107" t="s">
        <v>17</v>
      </c>
      <c r="H21" s="108"/>
      <c r="I21" s="108"/>
      <c r="J21" s="109"/>
      <c r="K21" s="107" t="s">
        <v>18</v>
      </c>
      <c r="L21" s="108"/>
      <c r="M21" s="108"/>
      <c r="N21" s="109"/>
      <c r="O21" s="10"/>
    </row>
    <row r="22" spans="1:15" ht="22.5" customHeight="1">
      <c r="A22" s="9"/>
      <c r="B22" s="106"/>
      <c r="C22" s="110"/>
      <c r="D22" s="111"/>
      <c r="E22" s="111"/>
      <c r="F22" s="112"/>
      <c r="G22" s="110"/>
      <c r="H22" s="111"/>
      <c r="I22" s="111"/>
      <c r="J22" s="112"/>
      <c r="K22" s="110"/>
      <c r="L22" s="111"/>
      <c r="M22" s="111"/>
      <c r="N22" s="112"/>
      <c r="O22" s="10"/>
    </row>
    <row r="23" spans="1:15" ht="22.5" customHeight="1">
      <c r="A23" s="9"/>
      <c r="B23" s="105">
        <v>5</v>
      </c>
      <c r="C23" s="107" t="s">
        <v>19</v>
      </c>
      <c r="D23" s="108"/>
      <c r="E23" s="108"/>
      <c r="F23" s="109"/>
      <c r="G23" s="107" t="s">
        <v>20</v>
      </c>
      <c r="H23" s="108"/>
      <c r="I23" s="108"/>
      <c r="J23" s="109"/>
      <c r="K23" s="107" t="s">
        <v>21</v>
      </c>
      <c r="L23" s="108"/>
      <c r="M23" s="108"/>
      <c r="N23" s="109"/>
      <c r="O23" s="10"/>
    </row>
    <row r="24" spans="1:15" ht="22.5" customHeight="1">
      <c r="A24" s="9"/>
      <c r="B24" s="106"/>
      <c r="C24" s="110"/>
      <c r="D24" s="111"/>
      <c r="E24" s="111"/>
      <c r="F24" s="112"/>
      <c r="G24" s="110"/>
      <c r="H24" s="111"/>
      <c r="I24" s="111"/>
      <c r="J24" s="112"/>
      <c r="K24" s="110"/>
      <c r="L24" s="111"/>
      <c r="M24" s="111"/>
      <c r="N24" s="112"/>
      <c r="O24" s="10"/>
    </row>
    <row r="25" spans="1:15" ht="22.5" customHeight="1">
      <c r="A25" s="9"/>
      <c r="B25" s="105">
        <v>6</v>
      </c>
      <c r="C25" s="107" t="s">
        <v>22</v>
      </c>
      <c r="D25" s="108"/>
      <c r="E25" s="108"/>
      <c r="F25" s="109"/>
      <c r="G25" s="107" t="s">
        <v>23</v>
      </c>
      <c r="H25" s="108"/>
      <c r="I25" s="108"/>
      <c r="J25" s="109"/>
      <c r="K25" s="107" t="s">
        <v>24</v>
      </c>
      <c r="L25" s="108"/>
      <c r="M25" s="108"/>
      <c r="N25" s="109"/>
      <c r="O25" s="10"/>
    </row>
    <row r="26" spans="1:15" ht="22.5" customHeight="1">
      <c r="A26" s="9"/>
      <c r="B26" s="106"/>
      <c r="C26" s="110"/>
      <c r="D26" s="111"/>
      <c r="E26" s="111"/>
      <c r="F26" s="112"/>
      <c r="G26" s="110"/>
      <c r="H26" s="111"/>
      <c r="I26" s="111"/>
      <c r="J26" s="112"/>
      <c r="K26" s="110"/>
      <c r="L26" s="111"/>
      <c r="M26" s="111"/>
      <c r="N26" s="112"/>
      <c r="O26" s="10"/>
    </row>
    <row r="27" spans="1:15" ht="22.5" customHeight="1">
      <c r="A27" s="9"/>
      <c r="B27" s="105">
        <v>7</v>
      </c>
      <c r="C27" s="107" t="s">
        <v>25</v>
      </c>
      <c r="D27" s="108"/>
      <c r="E27" s="108"/>
      <c r="F27" s="109"/>
      <c r="G27" s="107" t="s">
        <v>26</v>
      </c>
      <c r="H27" s="108"/>
      <c r="I27" s="108"/>
      <c r="J27" s="109"/>
      <c r="K27" s="107" t="s">
        <v>27</v>
      </c>
      <c r="L27" s="108"/>
      <c r="M27" s="108"/>
      <c r="N27" s="109"/>
      <c r="O27" s="10"/>
    </row>
    <row r="28" spans="1:15" ht="22.5" customHeight="1">
      <c r="A28" s="9"/>
      <c r="B28" s="106"/>
      <c r="C28" s="110"/>
      <c r="D28" s="111"/>
      <c r="E28" s="111"/>
      <c r="F28" s="112"/>
      <c r="G28" s="110"/>
      <c r="H28" s="111"/>
      <c r="I28" s="111"/>
      <c r="J28" s="112"/>
      <c r="K28" s="110"/>
      <c r="L28" s="111"/>
      <c r="M28" s="111"/>
      <c r="N28" s="112"/>
      <c r="O28" s="10"/>
    </row>
    <row r="29" spans="1:15" ht="22.5" customHeight="1">
      <c r="A29" s="9"/>
      <c r="B29" s="105">
        <v>8</v>
      </c>
      <c r="C29" s="107" t="s">
        <v>28</v>
      </c>
      <c r="D29" s="108"/>
      <c r="E29" s="108"/>
      <c r="F29" s="109"/>
      <c r="G29" s="107" t="s">
        <v>29</v>
      </c>
      <c r="H29" s="108"/>
      <c r="I29" s="108"/>
      <c r="J29" s="109"/>
      <c r="K29" s="107" t="s">
        <v>30</v>
      </c>
      <c r="L29" s="108"/>
      <c r="M29" s="108"/>
      <c r="N29" s="109"/>
      <c r="O29" s="10"/>
    </row>
    <row r="30" spans="1:15" ht="22.5" customHeight="1">
      <c r="A30" s="9"/>
      <c r="B30" s="106"/>
      <c r="C30" s="110"/>
      <c r="D30" s="111"/>
      <c r="E30" s="111"/>
      <c r="F30" s="112"/>
      <c r="G30" s="110"/>
      <c r="H30" s="111"/>
      <c r="I30" s="111"/>
      <c r="J30" s="112"/>
      <c r="K30" s="110"/>
      <c r="L30" s="111"/>
      <c r="M30" s="111"/>
      <c r="N30" s="112"/>
      <c r="O30" s="10"/>
    </row>
    <row r="31" spans="1:15" ht="22.5" customHeight="1">
      <c r="A31" s="9"/>
      <c r="B31" s="105">
        <v>9</v>
      </c>
      <c r="C31" s="107" t="s">
        <v>31</v>
      </c>
      <c r="D31" s="108"/>
      <c r="E31" s="108"/>
      <c r="F31" s="109"/>
      <c r="G31" s="107" t="s">
        <v>32</v>
      </c>
      <c r="H31" s="108"/>
      <c r="I31" s="108"/>
      <c r="J31" s="109"/>
      <c r="K31" s="107" t="s">
        <v>33</v>
      </c>
      <c r="L31" s="108"/>
      <c r="M31" s="108"/>
      <c r="N31" s="109"/>
      <c r="O31" s="10"/>
    </row>
    <row r="32" spans="1:15" ht="22.5" customHeight="1">
      <c r="A32" s="9"/>
      <c r="B32" s="106"/>
      <c r="C32" s="110"/>
      <c r="D32" s="111"/>
      <c r="E32" s="111"/>
      <c r="F32" s="112"/>
      <c r="G32" s="110"/>
      <c r="H32" s="111"/>
      <c r="I32" s="111"/>
      <c r="J32" s="112"/>
      <c r="K32" s="110"/>
      <c r="L32" s="111"/>
      <c r="M32" s="111"/>
      <c r="N32" s="112"/>
      <c r="O32" s="10"/>
    </row>
    <row r="33" spans="1:15" ht="22.5" customHeight="1">
      <c r="A33" s="9"/>
      <c r="B33" s="105">
        <v>10</v>
      </c>
      <c r="C33" s="107" t="s">
        <v>34</v>
      </c>
      <c r="D33" s="108"/>
      <c r="E33" s="108"/>
      <c r="F33" s="109"/>
      <c r="G33" s="107" t="s">
        <v>35</v>
      </c>
      <c r="H33" s="108"/>
      <c r="I33" s="108"/>
      <c r="J33" s="109"/>
      <c r="K33" s="107" t="s">
        <v>36</v>
      </c>
      <c r="L33" s="108"/>
      <c r="M33" s="108"/>
      <c r="N33" s="109"/>
      <c r="O33" s="10"/>
    </row>
    <row r="34" spans="1:15" ht="22.5" customHeight="1">
      <c r="A34" s="9"/>
      <c r="B34" s="106"/>
      <c r="C34" s="110"/>
      <c r="D34" s="111"/>
      <c r="E34" s="111"/>
      <c r="F34" s="112"/>
      <c r="G34" s="110"/>
      <c r="H34" s="111"/>
      <c r="I34" s="111"/>
      <c r="J34" s="112"/>
      <c r="K34" s="110"/>
      <c r="L34" s="111"/>
      <c r="M34" s="111"/>
      <c r="N34" s="112"/>
      <c r="O34" s="10"/>
    </row>
    <row r="35" spans="1:15" ht="22.5" customHeight="1">
      <c r="A35" s="9"/>
      <c r="B35" s="105">
        <v>11</v>
      </c>
      <c r="C35" s="107" t="s">
        <v>37</v>
      </c>
      <c r="D35" s="108"/>
      <c r="E35" s="108"/>
      <c r="F35" s="109"/>
      <c r="G35" s="107" t="s">
        <v>38</v>
      </c>
      <c r="H35" s="108"/>
      <c r="I35" s="108"/>
      <c r="J35" s="109"/>
      <c r="K35" s="107" t="s">
        <v>39</v>
      </c>
      <c r="L35" s="108"/>
      <c r="M35" s="108"/>
      <c r="N35" s="109"/>
      <c r="O35" s="10"/>
    </row>
    <row r="36" spans="1:15" ht="22.5" customHeight="1">
      <c r="A36" s="9"/>
      <c r="B36" s="106"/>
      <c r="C36" s="110"/>
      <c r="D36" s="111"/>
      <c r="E36" s="111"/>
      <c r="F36" s="112"/>
      <c r="G36" s="110"/>
      <c r="H36" s="111"/>
      <c r="I36" s="111"/>
      <c r="J36" s="112"/>
      <c r="K36" s="110"/>
      <c r="L36" s="111"/>
      <c r="M36" s="111"/>
      <c r="N36" s="112"/>
      <c r="O36" s="10"/>
    </row>
    <row r="37" spans="1:15" ht="22.5" customHeight="1">
      <c r="A37" s="9"/>
      <c r="B37" s="105">
        <v>12</v>
      </c>
      <c r="C37" s="107" t="s">
        <v>40</v>
      </c>
      <c r="D37" s="108"/>
      <c r="E37" s="108"/>
      <c r="F37" s="109"/>
      <c r="G37" s="107" t="s">
        <v>41</v>
      </c>
      <c r="H37" s="108"/>
      <c r="I37" s="108"/>
      <c r="J37" s="109"/>
      <c r="K37" s="107" t="s">
        <v>42</v>
      </c>
      <c r="L37" s="108"/>
      <c r="M37" s="108"/>
      <c r="N37" s="109"/>
      <c r="O37" s="10"/>
    </row>
    <row r="38" spans="1:15" ht="22.5" customHeight="1">
      <c r="A38" s="9"/>
      <c r="B38" s="106"/>
      <c r="C38" s="110"/>
      <c r="D38" s="111"/>
      <c r="E38" s="111"/>
      <c r="F38" s="112"/>
      <c r="G38" s="110"/>
      <c r="H38" s="111"/>
      <c r="I38" s="111"/>
      <c r="J38" s="112"/>
      <c r="K38" s="110"/>
      <c r="L38" s="111"/>
      <c r="M38" s="111"/>
      <c r="N38" s="112"/>
      <c r="O38" s="10"/>
    </row>
    <row r="39" spans="1:15" ht="22.5" customHeight="1">
      <c r="A39" s="9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22.5" customHeight="1">
      <c r="A40" s="9"/>
      <c r="B40" s="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22.5" customHeight="1">
      <c r="A41" s="9"/>
      <c r="B41" s="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22.5" customHeight="1">
      <c r="A42" s="9"/>
      <c r="B42" s="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</sheetData>
  <mergeCells count="57"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  <mergeCell ref="C15:F16"/>
    <mergeCell ref="G15:J16"/>
    <mergeCell ref="K15:N16"/>
    <mergeCell ref="C17:F18"/>
    <mergeCell ref="G17:J18"/>
    <mergeCell ref="K17:N18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0"/>
  <sheetViews>
    <sheetView showGridLines="0" workbookViewId="0"/>
  </sheetViews>
  <sheetFormatPr defaultColWidth="12.5703125" defaultRowHeight="15.75" customHeight="1" outlineLevelRow="1"/>
  <cols>
    <col min="1" max="1" width="52" customWidth="1"/>
    <col min="2" max="2" width="20" customWidth="1"/>
    <col min="3" max="3" width="58" customWidth="1"/>
    <col min="4" max="4" width="17" customWidth="1"/>
    <col min="5" max="5" width="18.42578125" customWidth="1"/>
    <col min="6" max="6" width="25.42578125" customWidth="1"/>
  </cols>
  <sheetData>
    <row r="1" spans="1:11" ht="20.25">
      <c r="A1" s="1"/>
      <c r="B1" s="1"/>
      <c r="C1" s="1"/>
      <c r="D1" s="1"/>
      <c r="E1" s="2"/>
      <c r="F1" s="2"/>
      <c r="G1" s="2"/>
      <c r="H1" s="2"/>
      <c r="I1" s="2"/>
      <c r="J1" s="2"/>
      <c r="K1" s="1"/>
    </row>
    <row r="2" spans="1:11" ht="20.25">
      <c r="A2" s="1"/>
      <c r="B2" s="1"/>
      <c r="C2" s="1"/>
      <c r="D2" s="1"/>
      <c r="E2" s="2"/>
      <c r="F2" s="2"/>
      <c r="G2" s="2"/>
      <c r="H2" s="2"/>
      <c r="I2" s="2"/>
      <c r="J2" s="2"/>
      <c r="K2" s="1"/>
    </row>
    <row r="3" spans="1:11" ht="12.75">
      <c r="A3" s="113"/>
      <c r="B3" s="115" t="s">
        <v>43</v>
      </c>
      <c r="C3" s="116"/>
      <c r="D3" s="116"/>
      <c r="E3" s="116"/>
      <c r="F3" s="116"/>
      <c r="G3" s="116"/>
      <c r="H3" s="116"/>
      <c r="I3" s="116"/>
      <c r="J3" s="117"/>
      <c r="K3" s="1"/>
    </row>
    <row r="4" spans="1:11" ht="12.75">
      <c r="A4" s="114"/>
      <c r="B4" s="118"/>
      <c r="C4" s="114"/>
      <c r="D4" s="114"/>
      <c r="E4" s="114"/>
      <c r="F4" s="114"/>
      <c r="G4" s="114"/>
      <c r="H4" s="114"/>
      <c r="I4" s="114"/>
      <c r="J4" s="119"/>
      <c r="K4" s="1"/>
    </row>
    <row r="5" spans="1:11" ht="12.75">
      <c r="A5" s="114"/>
      <c r="B5" s="118"/>
      <c r="C5" s="114"/>
      <c r="D5" s="114"/>
      <c r="E5" s="114"/>
      <c r="F5" s="114"/>
      <c r="G5" s="114"/>
      <c r="H5" s="114"/>
      <c r="I5" s="114"/>
      <c r="J5" s="119"/>
      <c r="K5" s="1"/>
    </row>
    <row r="6" spans="1:11" ht="12.75">
      <c r="A6" s="114"/>
      <c r="B6" s="120"/>
      <c r="C6" s="121"/>
      <c r="D6" s="121"/>
      <c r="E6" s="121"/>
      <c r="F6" s="121"/>
      <c r="G6" s="121"/>
      <c r="H6" s="121"/>
      <c r="I6" s="121"/>
      <c r="J6" s="122"/>
      <c r="K6" s="1"/>
    </row>
    <row r="7" spans="1:11" ht="12.75">
      <c r="A7" s="114"/>
      <c r="B7" s="132" t="s">
        <v>44</v>
      </c>
      <c r="C7" s="133" t="s">
        <v>45</v>
      </c>
      <c r="D7" s="12"/>
      <c r="E7" s="132" t="s">
        <v>46</v>
      </c>
      <c r="F7" s="133" t="s">
        <v>47</v>
      </c>
      <c r="G7" s="13"/>
      <c r="H7" s="132" t="s">
        <v>48</v>
      </c>
      <c r="I7" s="134" t="s">
        <v>49</v>
      </c>
      <c r="J7" s="135"/>
      <c r="K7" s="1"/>
    </row>
    <row r="8" spans="1:11" ht="12.75">
      <c r="A8" s="114"/>
      <c r="B8" s="110"/>
      <c r="C8" s="106"/>
      <c r="D8" s="14"/>
      <c r="E8" s="110"/>
      <c r="F8" s="106"/>
      <c r="G8" s="13"/>
      <c r="H8" s="110"/>
      <c r="I8" s="110"/>
      <c r="J8" s="112"/>
      <c r="K8" s="1"/>
    </row>
    <row r="9" spans="1:1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>
      <c r="A10" s="15"/>
      <c r="B10" s="15"/>
      <c r="C10" s="15"/>
      <c r="D10" s="13"/>
      <c r="E10" s="16"/>
      <c r="F10" s="15"/>
      <c r="G10" s="17"/>
      <c r="H10" s="2"/>
      <c r="I10" s="2"/>
      <c r="J10" s="2"/>
      <c r="K10" s="2"/>
    </row>
    <row r="11" spans="1:11" ht="20.25">
      <c r="A11" s="15"/>
      <c r="B11" s="15"/>
      <c r="C11" s="15"/>
      <c r="D11" s="15"/>
      <c r="E11" s="15"/>
      <c r="F11" s="15"/>
      <c r="G11" s="17"/>
      <c r="H11" s="2"/>
      <c r="I11" s="2"/>
      <c r="J11" s="2"/>
      <c r="K11" s="2"/>
    </row>
    <row r="12" spans="1:11" ht="20.25">
      <c r="A12" s="15"/>
      <c r="B12" s="15"/>
      <c r="C12" s="15"/>
      <c r="D12" s="15"/>
      <c r="E12" s="15"/>
      <c r="F12" s="15"/>
      <c r="G12" s="17"/>
      <c r="H12" s="2"/>
      <c r="I12" s="2"/>
      <c r="J12" s="2"/>
      <c r="K12" s="2"/>
    </row>
    <row r="13" spans="1:11" ht="22.5" customHeight="1">
      <c r="A13" s="18" t="s">
        <v>50</v>
      </c>
      <c r="B13" s="18" t="s">
        <v>51</v>
      </c>
      <c r="C13" s="18" t="s">
        <v>52</v>
      </c>
      <c r="D13" s="18" t="s">
        <v>53</v>
      </c>
      <c r="E13" s="18" t="s">
        <v>54</v>
      </c>
      <c r="F13" s="18" t="s">
        <v>55</v>
      </c>
      <c r="G13" s="19"/>
      <c r="H13" s="2"/>
      <c r="I13" s="2"/>
      <c r="J13" s="2"/>
      <c r="K13" s="2"/>
    </row>
    <row r="14" spans="1:11" ht="22.5" customHeight="1">
      <c r="A14" s="20" t="s">
        <v>56</v>
      </c>
      <c r="B14" s="21" t="s">
        <v>57</v>
      </c>
      <c r="C14" s="20" t="s">
        <v>58</v>
      </c>
      <c r="D14" s="22" t="s">
        <v>59</v>
      </c>
      <c r="E14" s="23">
        <v>45959</v>
      </c>
      <c r="F14" s="24" t="s">
        <v>60</v>
      </c>
      <c r="G14" s="25"/>
      <c r="H14" s="2"/>
      <c r="I14" s="2"/>
      <c r="J14" s="2"/>
      <c r="K14" s="2"/>
    </row>
    <row r="15" spans="1:11" ht="22.5" customHeight="1">
      <c r="A15" s="20" t="s">
        <v>61</v>
      </c>
      <c r="B15" s="21" t="s">
        <v>57</v>
      </c>
      <c r="C15" s="20" t="s">
        <v>62</v>
      </c>
      <c r="D15" s="22" t="s">
        <v>63</v>
      </c>
      <c r="E15" s="23">
        <v>45965</v>
      </c>
      <c r="F15" s="24" t="s">
        <v>64</v>
      </c>
      <c r="G15" s="25"/>
      <c r="H15" s="2"/>
      <c r="I15" s="2"/>
      <c r="J15" s="2"/>
      <c r="K15" s="2"/>
    </row>
    <row r="16" spans="1:11" ht="22.5" customHeight="1">
      <c r="A16" s="20" t="s">
        <v>65</v>
      </c>
      <c r="B16" s="21" t="s">
        <v>57</v>
      </c>
      <c r="C16" s="20" t="s">
        <v>66</v>
      </c>
      <c r="D16" s="22" t="s">
        <v>49</v>
      </c>
      <c r="E16" s="23">
        <v>45966</v>
      </c>
      <c r="F16" s="26" t="s">
        <v>67</v>
      </c>
      <c r="G16" s="25"/>
      <c r="H16" s="2"/>
      <c r="I16" s="2"/>
      <c r="J16" s="2"/>
      <c r="K16" s="2"/>
    </row>
    <row r="17" spans="1:11" ht="22.5" customHeight="1">
      <c r="A17" s="20" t="s">
        <v>68</v>
      </c>
      <c r="B17" s="21" t="s">
        <v>57</v>
      </c>
      <c r="C17" s="20" t="s">
        <v>69</v>
      </c>
      <c r="D17" s="22" t="s">
        <v>63</v>
      </c>
      <c r="E17" s="23">
        <v>45966</v>
      </c>
      <c r="F17" s="26" t="s">
        <v>70</v>
      </c>
      <c r="G17" s="25"/>
      <c r="H17" s="2"/>
      <c r="I17" s="2"/>
      <c r="J17" s="2"/>
      <c r="K17" s="2"/>
    </row>
    <row r="18" spans="1:11" ht="22.5" customHeight="1">
      <c r="A18" s="20" t="s">
        <v>71</v>
      </c>
      <c r="B18" s="21" t="s">
        <v>57</v>
      </c>
      <c r="C18" s="27" t="s">
        <v>72</v>
      </c>
      <c r="D18" s="22" t="s">
        <v>49</v>
      </c>
      <c r="E18" s="23">
        <v>45967</v>
      </c>
      <c r="F18" s="26" t="s">
        <v>73</v>
      </c>
      <c r="G18" s="25"/>
      <c r="H18" s="2"/>
      <c r="I18" s="2"/>
      <c r="J18" s="2"/>
      <c r="K18" s="2"/>
    </row>
    <row r="19" spans="1:11" ht="22.5" customHeight="1">
      <c r="A19" s="20" t="s">
        <v>74</v>
      </c>
      <c r="B19" s="21" t="s">
        <v>57</v>
      </c>
      <c r="C19" s="27" t="s">
        <v>75</v>
      </c>
      <c r="D19" s="22" t="s">
        <v>49</v>
      </c>
      <c r="E19" s="23">
        <v>45967</v>
      </c>
      <c r="F19" s="26" t="s">
        <v>76</v>
      </c>
      <c r="G19" s="25"/>
      <c r="H19" s="136"/>
      <c r="I19" s="136"/>
      <c r="J19" s="114"/>
      <c r="K19" s="13"/>
    </row>
    <row r="20" spans="1:11" ht="22.5" customHeight="1">
      <c r="A20" s="20" t="s">
        <v>77</v>
      </c>
      <c r="B20" s="21" t="s">
        <v>57</v>
      </c>
      <c r="C20" s="20" t="s">
        <v>78</v>
      </c>
      <c r="D20" s="22" t="s">
        <v>59</v>
      </c>
      <c r="E20" s="23">
        <v>45968</v>
      </c>
      <c r="F20" s="26" t="s">
        <v>79</v>
      </c>
      <c r="G20" s="25"/>
      <c r="H20" s="114"/>
      <c r="I20" s="114"/>
      <c r="J20" s="114"/>
      <c r="K20" s="13"/>
    </row>
    <row r="21" spans="1:11" ht="22.5" customHeight="1">
      <c r="A21" s="27" t="s">
        <v>80</v>
      </c>
      <c r="B21" s="21" t="s">
        <v>57</v>
      </c>
      <c r="C21" s="27" t="s">
        <v>81</v>
      </c>
      <c r="D21" s="22" t="s">
        <v>59</v>
      </c>
      <c r="E21" s="23">
        <v>45968</v>
      </c>
      <c r="F21" s="26" t="s">
        <v>82</v>
      </c>
      <c r="G21" s="25"/>
      <c r="H21" s="1"/>
      <c r="I21" s="1"/>
      <c r="J21" s="1"/>
      <c r="K21" s="1"/>
    </row>
    <row r="22" spans="1:11" ht="22.5" customHeight="1">
      <c r="A22" s="27" t="s">
        <v>83</v>
      </c>
      <c r="B22" s="21" t="s">
        <v>57</v>
      </c>
      <c r="C22" s="27" t="s">
        <v>84</v>
      </c>
      <c r="D22" s="22" t="s">
        <v>59</v>
      </c>
      <c r="E22" s="23">
        <v>45971</v>
      </c>
      <c r="F22" s="26" t="s">
        <v>85</v>
      </c>
      <c r="G22" s="25"/>
      <c r="H22" s="1"/>
      <c r="I22" s="1"/>
      <c r="J22" s="1"/>
      <c r="K22" s="1"/>
    </row>
    <row r="23" spans="1:11" ht="22.5" customHeight="1">
      <c r="A23" s="22"/>
      <c r="B23" s="21"/>
      <c r="C23" s="22"/>
      <c r="D23" s="22"/>
      <c r="E23" s="23"/>
      <c r="F23" s="28"/>
      <c r="G23" s="25"/>
      <c r="H23" s="4"/>
      <c r="I23" s="4"/>
      <c r="J23" s="4"/>
      <c r="K23" s="4"/>
    </row>
    <row r="24" spans="1:11" ht="22.5" customHeight="1">
      <c r="A24" s="29"/>
      <c r="B24" s="30"/>
      <c r="C24" s="31"/>
      <c r="D24" s="31"/>
      <c r="E24" s="31"/>
      <c r="F24" s="31"/>
      <c r="G24" s="32"/>
      <c r="H24" s="33"/>
      <c r="I24" s="33"/>
      <c r="J24" s="33"/>
      <c r="K24" s="6"/>
    </row>
    <row r="25" spans="1:11" ht="22.5" customHeight="1">
      <c r="A25" s="34"/>
      <c r="B25" s="34"/>
      <c r="C25" s="34"/>
      <c r="D25" s="34"/>
      <c r="E25" s="34"/>
      <c r="F25" s="34"/>
      <c r="G25" s="34"/>
      <c r="H25" s="35"/>
      <c r="I25" s="35"/>
      <c r="J25" s="35"/>
      <c r="K25" s="5"/>
    </row>
    <row r="26" spans="1:11" ht="22.5" customHeight="1">
      <c r="A26" s="34"/>
      <c r="B26" s="34"/>
      <c r="C26" s="34"/>
      <c r="D26" s="34"/>
      <c r="E26" s="34"/>
      <c r="F26" s="34"/>
      <c r="G26" s="34"/>
      <c r="H26" s="35"/>
      <c r="I26" s="35"/>
      <c r="J26" s="35"/>
      <c r="K26" s="5"/>
    </row>
    <row r="27" spans="1:11" ht="22.5" customHeight="1">
      <c r="A27" s="137" t="s">
        <v>86</v>
      </c>
      <c r="B27" s="114"/>
      <c r="C27" s="114"/>
      <c r="D27" s="114"/>
      <c r="E27" s="114"/>
      <c r="F27" s="36"/>
      <c r="G27" s="36"/>
      <c r="H27" s="35"/>
      <c r="I27" s="35"/>
      <c r="J27" s="35"/>
      <c r="K27" s="5"/>
    </row>
    <row r="28" spans="1:11" ht="22.5" customHeight="1" collapsed="1">
      <c r="A28" s="138" t="s">
        <v>87</v>
      </c>
      <c r="B28" s="114"/>
      <c r="C28" s="114"/>
      <c r="D28" s="114"/>
      <c r="E28" s="114"/>
      <c r="F28" s="37"/>
      <c r="G28" s="37"/>
      <c r="H28" s="38"/>
      <c r="I28" s="38"/>
      <c r="J28" s="38"/>
      <c r="K28" s="38"/>
    </row>
    <row r="29" spans="1:11" ht="22.5" hidden="1" customHeight="1" outlineLevel="1">
      <c r="A29" s="139" t="s">
        <v>88</v>
      </c>
      <c r="B29" s="114"/>
      <c r="C29" s="114"/>
      <c r="D29" s="114"/>
      <c r="E29" s="114"/>
      <c r="F29" s="39"/>
      <c r="G29" s="39"/>
      <c r="H29" s="11"/>
      <c r="I29" s="11"/>
      <c r="J29" s="11"/>
      <c r="K29" s="11"/>
    </row>
    <row r="30" spans="1:11" ht="22.5" hidden="1" customHeight="1" outlineLevel="1">
      <c r="A30" s="114"/>
      <c r="B30" s="114"/>
      <c r="C30" s="114"/>
      <c r="D30" s="114"/>
      <c r="E30" s="114"/>
      <c r="F30" s="39"/>
      <c r="G30" s="39"/>
      <c r="H30" s="11"/>
      <c r="I30" s="11"/>
      <c r="J30" s="11"/>
      <c r="K30" s="11"/>
    </row>
    <row r="31" spans="1:11" ht="22.5" hidden="1" customHeight="1" outlineLevel="1">
      <c r="A31" s="114"/>
      <c r="B31" s="114"/>
      <c r="C31" s="114"/>
      <c r="D31" s="114"/>
      <c r="E31" s="114"/>
      <c r="F31" s="39"/>
      <c r="G31" s="39"/>
      <c r="H31" s="11"/>
      <c r="I31" s="11"/>
      <c r="J31" s="11"/>
      <c r="K31" s="11"/>
    </row>
    <row r="32" spans="1:11" ht="22.5" hidden="1" customHeight="1" outlineLevel="1">
      <c r="A32" s="139" t="s">
        <v>89</v>
      </c>
      <c r="B32" s="114"/>
      <c r="C32" s="114"/>
      <c r="D32" s="114"/>
      <c r="E32" s="114"/>
      <c r="F32" s="40"/>
      <c r="G32" s="40"/>
      <c r="H32" s="11"/>
      <c r="I32" s="11"/>
      <c r="J32" s="11"/>
      <c r="K32" s="11"/>
    </row>
    <row r="33" spans="1:11" ht="22.5" hidden="1" customHeight="1" outlineLevel="1">
      <c r="A33" s="140" t="s">
        <v>90</v>
      </c>
      <c r="B33" s="114"/>
      <c r="C33" s="114"/>
      <c r="D33" s="114"/>
      <c r="E33" s="114"/>
      <c r="F33" s="11"/>
      <c r="G33" s="11"/>
      <c r="H33" s="11"/>
      <c r="I33" s="11"/>
      <c r="J33" s="11"/>
      <c r="K33" s="11"/>
    </row>
    <row r="34" spans="1:11" ht="22.5" hidden="1" customHeight="1" outlineLevel="1">
      <c r="A34" s="140" t="s">
        <v>91</v>
      </c>
      <c r="B34" s="114"/>
      <c r="C34" s="114"/>
      <c r="D34" s="114"/>
      <c r="E34" s="114"/>
      <c r="F34" s="11"/>
      <c r="G34" s="11"/>
      <c r="H34" s="11"/>
      <c r="I34" s="11"/>
      <c r="J34" s="11"/>
      <c r="K34" s="11"/>
    </row>
    <row r="35" spans="1:11" ht="22.5" hidden="1" customHeight="1" outlineLevel="1">
      <c r="A35" s="140" t="s">
        <v>92</v>
      </c>
      <c r="B35" s="114"/>
      <c r="C35" s="114"/>
      <c r="D35" s="114"/>
      <c r="E35" s="114"/>
      <c r="F35" s="11"/>
      <c r="G35" s="11"/>
      <c r="H35" s="11"/>
      <c r="I35" s="11"/>
      <c r="J35" s="11"/>
      <c r="K35" s="11"/>
    </row>
    <row r="36" spans="1:11" ht="22.5" hidden="1" customHeight="1" outlineLevel="1">
      <c r="A36" s="140" t="s">
        <v>93</v>
      </c>
      <c r="B36" s="114"/>
      <c r="C36" s="114"/>
      <c r="D36" s="114"/>
      <c r="E36" s="114"/>
      <c r="F36" s="11"/>
      <c r="G36" s="11"/>
      <c r="H36" s="11"/>
      <c r="I36" s="11"/>
      <c r="J36" s="11"/>
      <c r="K36" s="11"/>
    </row>
    <row r="37" spans="1:11" ht="22.5" hidden="1" customHeight="1" outlineLevel="1">
      <c r="A37" s="140" t="s">
        <v>94</v>
      </c>
      <c r="B37" s="114"/>
      <c r="C37" s="114"/>
      <c r="D37" s="114"/>
      <c r="E37" s="114"/>
      <c r="F37" s="11"/>
      <c r="G37" s="11"/>
      <c r="H37" s="11"/>
      <c r="I37" s="11"/>
      <c r="J37" s="11"/>
      <c r="K37" s="11"/>
    </row>
    <row r="38" spans="1:11" ht="22.5" hidden="1" customHeight="1" outlineLevel="1">
      <c r="A38" s="140" t="s">
        <v>95</v>
      </c>
      <c r="B38" s="114"/>
      <c r="C38" s="114"/>
      <c r="D38" s="114"/>
      <c r="E38" s="114"/>
      <c r="F38" s="11"/>
      <c r="G38" s="11"/>
      <c r="H38" s="11"/>
      <c r="I38" s="11"/>
      <c r="J38" s="11"/>
      <c r="K38" s="11"/>
    </row>
    <row r="39" spans="1:11" ht="22.5" hidden="1" customHeight="1" outlineLevel="1">
      <c r="A39" s="41"/>
      <c r="B39" s="41"/>
      <c r="C39" s="41"/>
      <c r="D39" s="42"/>
      <c r="E39" s="11"/>
      <c r="F39" s="11"/>
      <c r="G39" s="11"/>
      <c r="H39" s="11"/>
      <c r="I39" s="11"/>
      <c r="J39" s="11"/>
      <c r="K39" s="11"/>
    </row>
    <row r="40" spans="1:11" ht="22.5" hidden="1" customHeight="1" outlineLevel="1">
      <c r="A40" s="43"/>
      <c r="B40" s="9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22.5" customHeight="1">
      <c r="A41" s="43"/>
      <c r="B41" s="9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22.5" customHeight="1">
      <c r="A42" s="43"/>
      <c r="B42" s="9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22.5" customHeight="1">
      <c r="A43" s="137" t="s">
        <v>96</v>
      </c>
      <c r="B43" s="114"/>
      <c r="C43" s="114"/>
      <c r="D43" s="114"/>
      <c r="E43" s="114"/>
      <c r="F43" s="36"/>
      <c r="G43" s="36"/>
      <c r="H43" s="11"/>
      <c r="I43" s="11"/>
      <c r="J43" s="11"/>
      <c r="K43" s="11"/>
    </row>
    <row r="44" spans="1:11" ht="22.5" customHeight="1" collapsed="1">
      <c r="A44" s="138" t="s">
        <v>87</v>
      </c>
      <c r="B44" s="114"/>
      <c r="C44" s="114"/>
      <c r="D44" s="114"/>
      <c r="E44" s="114"/>
      <c r="F44" s="37"/>
      <c r="G44" s="37"/>
      <c r="H44" s="11"/>
      <c r="I44" s="11"/>
      <c r="J44" s="11"/>
      <c r="K44" s="11"/>
    </row>
    <row r="45" spans="1:11" ht="22.5" hidden="1" customHeight="1" outlineLevel="1">
      <c r="A45" s="43"/>
      <c r="B45" s="9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22.5" hidden="1" customHeight="1" outlineLevel="1">
      <c r="A46" s="140" t="s">
        <v>97</v>
      </c>
      <c r="B46" s="114"/>
      <c r="C46" s="114"/>
      <c r="D46" s="114"/>
      <c r="E46" s="114"/>
      <c r="F46" s="44"/>
      <c r="G46" s="11"/>
      <c r="H46" s="11"/>
      <c r="I46" s="11"/>
      <c r="J46" s="11"/>
      <c r="K46" s="11"/>
    </row>
    <row r="47" spans="1:11" ht="22.5" hidden="1" customHeight="1" outlineLevel="1">
      <c r="A47" s="140" t="s">
        <v>98</v>
      </c>
      <c r="B47" s="114"/>
      <c r="C47" s="114"/>
      <c r="D47" s="114"/>
      <c r="E47" s="114"/>
      <c r="F47" s="45"/>
      <c r="G47" s="11"/>
      <c r="H47" s="11"/>
      <c r="I47" s="11"/>
      <c r="J47" s="11"/>
      <c r="K47" s="11"/>
    </row>
    <row r="48" spans="1:11" ht="22.5" hidden="1" customHeight="1" outlineLevel="1">
      <c r="A48" s="43"/>
      <c r="B48" s="9"/>
      <c r="C48" s="11"/>
      <c r="D48" s="11"/>
      <c r="E48" s="11"/>
      <c r="F48" s="11"/>
      <c r="G48" s="11"/>
      <c r="H48" s="11"/>
      <c r="I48" s="11"/>
      <c r="J48" s="11"/>
      <c r="K48" s="11"/>
    </row>
    <row r="49" spans="1:11" ht="22.5" customHeight="1">
      <c r="A49" s="43"/>
      <c r="B49" s="9"/>
      <c r="C49" s="11"/>
      <c r="D49" s="11"/>
      <c r="E49" s="11"/>
      <c r="F49" s="11"/>
      <c r="G49" s="11"/>
      <c r="H49" s="11"/>
      <c r="I49" s="11"/>
      <c r="J49" s="11"/>
      <c r="K49" s="11"/>
    </row>
    <row r="50" spans="1:11" ht="22.5" customHeight="1">
      <c r="A50" s="43"/>
      <c r="B50" s="9"/>
      <c r="C50" s="11"/>
      <c r="D50" s="11"/>
      <c r="E50" s="11"/>
      <c r="F50" s="11"/>
      <c r="G50" s="11"/>
      <c r="H50" s="11"/>
      <c r="I50" s="11"/>
      <c r="J50" s="11"/>
      <c r="K50" s="11"/>
    </row>
  </sheetData>
  <mergeCells count="24">
    <mergeCell ref="A32:E32"/>
    <mergeCell ref="A44:E44"/>
    <mergeCell ref="A46:E46"/>
    <mergeCell ref="A47:E47"/>
    <mergeCell ref="A33:E33"/>
    <mergeCell ref="A34:E34"/>
    <mergeCell ref="A35:E35"/>
    <mergeCell ref="A36:E36"/>
    <mergeCell ref="A37:E37"/>
    <mergeCell ref="A38:E38"/>
    <mergeCell ref="A43:E43"/>
    <mergeCell ref="H19:H20"/>
    <mergeCell ref="I19:J20"/>
    <mergeCell ref="A27:E27"/>
    <mergeCell ref="A28:E28"/>
    <mergeCell ref="A29:E31"/>
    <mergeCell ref="A3:A8"/>
    <mergeCell ref="B3:J6"/>
    <mergeCell ref="B7:B8"/>
    <mergeCell ref="C7:C8"/>
    <mergeCell ref="E7:E8"/>
    <mergeCell ref="F7:F8"/>
    <mergeCell ref="I7:J8"/>
    <mergeCell ref="H7:H8"/>
  </mergeCells>
  <dataValidations count="5">
    <dataValidation type="list" allowBlank="1" showErrorMessage="1" sqref="I7" xr:uid="{00000000-0002-0000-0100-000000000000}">
      <formula1>"Finalizado,Em produção,Pendente"</formula1>
    </dataValidation>
    <dataValidation type="custom" allowBlank="1" showDropDown="1" sqref="E14:E23" xr:uid="{00000000-0002-0000-0100-000001000000}">
      <formula1>OR(NOT(ISERROR(DATEVALUE(E14))), AND(ISNUMBER(E14), LEFT(CELL("format", E14))="D"))</formula1>
    </dataValidation>
    <dataValidation type="list" allowBlank="1" sqref="D14:D23" xr:uid="{00000000-0002-0000-0100-000002000000}">
      <formula1>"Planejado,Em produção,Finalizado"</formula1>
    </dataValidation>
    <dataValidation allowBlank="1" showDropDown="1" sqref="A14:A23 C14:C23 F14:F23" xr:uid="{00000000-0002-0000-0100-000003000000}"/>
    <dataValidation type="list" allowBlank="1" sqref="B14:B23" xr:uid="{00000000-0002-0000-0100-000004000000}">
      <formula1>"Topo Funil,Meio Funil,Fundo Funil"</formula1>
    </dataValidation>
  </dataValidations>
  <hyperlinks>
    <hyperlink ref="F14" r:id="rId1" xr:uid="{00000000-0004-0000-0100-000000000000}"/>
    <hyperlink ref="F15" r:id="rId2" xr:uid="{00000000-0004-0000-0100-000001000000}"/>
    <hyperlink ref="F16" r:id="rId3" xr:uid="{00000000-0004-0000-0100-000002000000}"/>
    <hyperlink ref="F17" r:id="rId4" xr:uid="{00000000-0004-0000-0100-000003000000}"/>
    <hyperlink ref="F18" r:id="rId5" xr:uid="{00000000-0004-0000-0100-000004000000}"/>
    <hyperlink ref="F19" r:id="rId6" xr:uid="{00000000-0004-0000-0100-000005000000}"/>
    <hyperlink ref="F20" r:id="rId7" xr:uid="{00000000-0004-0000-0100-000006000000}"/>
    <hyperlink ref="F21" r:id="rId8" xr:uid="{00000000-0004-0000-0100-000007000000}"/>
    <hyperlink ref="F22" r:id="rId9" xr:uid="{00000000-0004-0000-0100-000008000000}"/>
  </hyperlinks>
  <pageMargins left="0.511811024" right="0.511811024" top="0.78740157499999996" bottom="0.78740157499999996" header="0.31496062000000002" footer="0.31496062000000002"/>
  <drawing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7CC3"/>
    <outlinePr summaryBelow="0" summaryRight="0"/>
  </sheetPr>
  <dimension ref="A1:V97"/>
  <sheetViews>
    <sheetView tabSelected="1" workbookViewId="0"/>
  </sheetViews>
  <sheetFormatPr defaultColWidth="12.5703125" defaultRowHeight="15.75" customHeight="1" outlineLevelRow="1"/>
  <cols>
    <col min="1" max="1" width="7.7109375" customWidth="1"/>
    <col min="2" max="2" width="15.5703125" customWidth="1"/>
    <col min="3" max="4" width="13.85546875" customWidth="1"/>
    <col min="5" max="5" width="6.7109375" customWidth="1"/>
    <col min="6" max="6" width="12.140625" customWidth="1"/>
    <col min="8" max="8" width="12.42578125" customWidth="1"/>
    <col min="9" max="9" width="12" customWidth="1"/>
    <col min="10" max="10" width="12.28515625" customWidth="1"/>
    <col min="11" max="12" width="11.140625" customWidth="1"/>
    <col min="13" max="14" width="11.5703125" customWidth="1"/>
    <col min="18" max="18" width="13.42578125" customWidth="1"/>
    <col min="22" max="22" width="9.42578125" customWidth="1"/>
  </cols>
  <sheetData>
    <row r="1" spans="1:22" ht="30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ht="30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30">
      <c r="A3" s="113"/>
      <c r="B3" s="114"/>
      <c r="C3" s="114"/>
      <c r="D3" s="114"/>
      <c r="E3" s="115" t="s">
        <v>99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7"/>
      <c r="V3" s="46"/>
    </row>
    <row r="4" spans="1:22" ht="30">
      <c r="A4" s="114"/>
      <c r="B4" s="114"/>
      <c r="C4" s="114"/>
      <c r="D4" s="114"/>
      <c r="E4" s="118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9"/>
      <c r="V4" s="46"/>
    </row>
    <row r="5" spans="1:22" ht="30">
      <c r="A5" s="114"/>
      <c r="B5" s="114"/>
      <c r="C5" s="114"/>
      <c r="D5" s="114"/>
      <c r="E5" s="118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9"/>
      <c r="V5" s="46"/>
    </row>
    <row r="6" spans="1:22" ht="30">
      <c r="A6" s="114"/>
      <c r="B6" s="114"/>
      <c r="C6" s="114"/>
      <c r="D6" s="114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2"/>
      <c r="V6" s="46"/>
    </row>
    <row r="7" spans="1:22" ht="30">
      <c r="A7" s="114"/>
      <c r="B7" s="114"/>
      <c r="C7" s="114"/>
      <c r="D7" s="114"/>
      <c r="E7" s="167" t="s">
        <v>44</v>
      </c>
      <c r="F7" s="114"/>
      <c r="G7" s="168" t="s">
        <v>45</v>
      </c>
      <c r="H7" s="114"/>
      <c r="I7" s="135"/>
      <c r="J7" s="46"/>
      <c r="K7" s="46"/>
      <c r="L7" s="167" t="s">
        <v>46</v>
      </c>
      <c r="M7" s="168" t="s">
        <v>100</v>
      </c>
      <c r="N7" s="135"/>
      <c r="O7" s="46"/>
      <c r="P7" s="46"/>
      <c r="Q7" s="167" t="s">
        <v>53</v>
      </c>
      <c r="R7" s="168" t="s">
        <v>49</v>
      </c>
      <c r="S7" s="114"/>
      <c r="T7" s="135"/>
      <c r="U7" s="47"/>
      <c r="V7" s="46"/>
    </row>
    <row r="8" spans="1:22" ht="30">
      <c r="A8" s="114"/>
      <c r="B8" s="114"/>
      <c r="C8" s="114"/>
      <c r="D8" s="114"/>
      <c r="E8" s="110"/>
      <c r="F8" s="111"/>
      <c r="G8" s="110"/>
      <c r="H8" s="111"/>
      <c r="I8" s="112"/>
      <c r="J8" s="46"/>
      <c r="K8" s="46"/>
      <c r="L8" s="110"/>
      <c r="M8" s="110"/>
      <c r="N8" s="112"/>
      <c r="O8" s="46"/>
      <c r="P8" s="46"/>
      <c r="Q8" s="110"/>
      <c r="R8" s="110"/>
      <c r="S8" s="111"/>
      <c r="T8" s="112"/>
      <c r="U8" s="47"/>
      <c r="V8" s="46"/>
    </row>
    <row r="9" spans="1:22" ht="30">
      <c r="A9" s="46"/>
      <c r="B9" s="46"/>
      <c r="C9" s="46"/>
      <c r="D9" s="46"/>
      <c r="E9" s="46"/>
      <c r="F9" s="48"/>
      <c r="G9" s="48"/>
      <c r="H9" s="46"/>
      <c r="I9" s="46"/>
      <c r="J9" s="46"/>
      <c r="K9" s="46"/>
      <c r="L9" s="46"/>
      <c r="M9" s="48"/>
      <c r="N9" s="48"/>
      <c r="O9" s="46"/>
      <c r="P9" s="46"/>
      <c r="Q9" s="46"/>
      <c r="R9" s="48"/>
      <c r="S9" s="48"/>
      <c r="T9" s="48"/>
      <c r="U9" s="46"/>
      <c r="V9" s="46"/>
    </row>
    <row r="10" spans="1:22" ht="3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spans="1:22" ht="30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spans="1:22" ht="41.25" customHeight="1">
      <c r="A12" s="147" t="s">
        <v>101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5"/>
      <c r="V12" s="46"/>
    </row>
    <row r="13" spans="1:22" ht="17.25" customHeight="1">
      <c r="A13" s="49"/>
      <c r="B13" s="50"/>
      <c r="C13" s="50"/>
      <c r="D13" s="50"/>
      <c r="E13" s="50"/>
      <c r="F13" s="49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49"/>
      <c r="T13" s="49"/>
      <c r="U13" s="49"/>
      <c r="V13" s="49"/>
    </row>
    <row r="14" spans="1:22" ht="17.25" customHeight="1">
      <c r="A14" s="49"/>
      <c r="B14" s="50"/>
      <c r="C14" s="50"/>
      <c r="D14" s="50"/>
      <c r="E14" s="50"/>
      <c r="F14" s="49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49"/>
      <c r="T14" s="49"/>
      <c r="U14" s="49"/>
      <c r="V14" s="49"/>
    </row>
    <row r="15" spans="1:22" ht="17.25" customHeight="1">
      <c r="A15" s="49"/>
      <c r="B15" s="50"/>
      <c r="C15" s="50"/>
      <c r="D15" s="50"/>
      <c r="E15" s="50"/>
      <c r="F15" s="49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49"/>
      <c r="T15" s="49"/>
      <c r="U15" s="49"/>
      <c r="V15" s="49"/>
    </row>
    <row r="16" spans="1:22" ht="17.25" customHeight="1">
      <c r="A16" s="49"/>
      <c r="B16" s="50"/>
      <c r="C16" s="50"/>
      <c r="D16" s="50"/>
      <c r="E16" s="50"/>
      <c r="F16" s="49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49"/>
      <c r="T16" s="49"/>
      <c r="U16" s="49"/>
      <c r="V16" s="49"/>
    </row>
    <row r="17" spans="1:22" ht="25.5" customHeight="1">
      <c r="A17" s="49"/>
      <c r="B17" s="169" t="s">
        <v>102</v>
      </c>
      <c r="C17" s="124"/>
      <c r="D17" s="124"/>
      <c r="E17" s="124"/>
      <c r="F17" s="124"/>
      <c r="G17" s="125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49"/>
      <c r="T17" s="49"/>
      <c r="U17" s="49"/>
      <c r="V17" s="49"/>
    </row>
    <row r="18" spans="1:22" ht="21" customHeight="1">
      <c r="A18" s="49"/>
      <c r="B18" s="170" t="s">
        <v>103</v>
      </c>
      <c r="C18" s="117"/>
      <c r="D18" s="170" t="s">
        <v>104</v>
      </c>
      <c r="E18" s="117"/>
      <c r="F18" s="171" t="s">
        <v>105</v>
      </c>
      <c r="G18" s="125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49"/>
      <c r="T18" s="49"/>
      <c r="U18" s="49"/>
      <c r="V18" s="49"/>
    </row>
    <row r="19" spans="1:22" ht="17.25" customHeight="1">
      <c r="A19" s="49"/>
      <c r="B19" s="141" t="s">
        <v>106</v>
      </c>
      <c r="C19" s="125"/>
      <c r="D19" s="142">
        <v>9600</v>
      </c>
      <c r="E19" s="125"/>
      <c r="F19" s="143">
        <f>D19/D28</f>
        <v>0.41025641025641024</v>
      </c>
      <c r="G19" s="125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9"/>
      <c r="T19" s="49"/>
      <c r="U19" s="49"/>
      <c r="V19" s="49"/>
    </row>
    <row r="20" spans="1:22" ht="17.25" customHeight="1">
      <c r="A20" s="49"/>
      <c r="B20" s="141" t="s">
        <v>107</v>
      </c>
      <c r="C20" s="125"/>
      <c r="D20" s="142">
        <v>8400</v>
      </c>
      <c r="E20" s="125"/>
      <c r="F20" s="143">
        <f>D20/D28</f>
        <v>0.35897435897435898</v>
      </c>
      <c r="G20" s="125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49"/>
      <c r="T20" s="49"/>
      <c r="U20" s="49"/>
      <c r="V20" s="49"/>
    </row>
    <row r="21" spans="1:22" ht="17.25" customHeight="1">
      <c r="A21" s="49"/>
      <c r="B21" s="141" t="s">
        <v>108</v>
      </c>
      <c r="C21" s="125"/>
      <c r="D21" s="142">
        <v>3000</v>
      </c>
      <c r="E21" s="125"/>
      <c r="F21" s="143">
        <f>D21/D28</f>
        <v>0.12820512820512819</v>
      </c>
      <c r="G21" s="125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49"/>
      <c r="T21" s="49"/>
      <c r="U21" s="49"/>
      <c r="V21" s="49"/>
    </row>
    <row r="22" spans="1:22" ht="17.25" customHeight="1">
      <c r="A22" s="49"/>
      <c r="B22" s="141" t="s">
        <v>109</v>
      </c>
      <c r="C22" s="125"/>
      <c r="D22" s="142">
        <v>2400</v>
      </c>
      <c r="E22" s="125"/>
      <c r="F22" s="143">
        <f>D22/D28</f>
        <v>0.10256410256410256</v>
      </c>
      <c r="G22" s="125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49"/>
      <c r="T22" s="49"/>
      <c r="U22" s="49"/>
      <c r="V22" s="49"/>
    </row>
    <row r="23" spans="1:22" ht="17.25" customHeight="1">
      <c r="A23" s="49"/>
      <c r="B23" s="141"/>
      <c r="C23" s="125"/>
      <c r="D23" s="142">
        <v>0</v>
      </c>
      <c r="E23" s="125"/>
      <c r="F23" s="143">
        <f>D23/D28</f>
        <v>0</v>
      </c>
      <c r="G23" s="125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49"/>
      <c r="T23" s="49"/>
      <c r="U23" s="49"/>
      <c r="V23" s="49"/>
    </row>
    <row r="24" spans="1:22" ht="17.25" customHeight="1">
      <c r="A24" s="49"/>
      <c r="B24" s="141"/>
      <c r="C24" s="125"/>
      <c r="D24" s="142">
        <v>0</v>
      </c>
      <c r="E24" s="125"/>
      <c r="F24" s="143">
        <f>D24/D28</f>
        <v>0</v>
      </c>
      <c r="G24" s="125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49"/>
      <c r="T24" s="49"/>
      <c r="U24" s="49"/>
      <c r="V24" s="49"/>
    </row>
    <row r="25" spans="1:22" ht="17.25" customHeight="1">
      <c r="A25" s="49"/>
      <c r="B25" s="141"/>
      <c r="C25" s="125"/>
      <c r="D25" s="142">
        <v>0</v>
      </c>
      <c r="E25" s="125"/>
      <c r="F25" s="143">
        <f>D25/D28</f>
        <v>0</v>
      </c>
      <c r="G25" s="125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49"/>
      <c r="T25" s="49"/>
      <c r="U25" s="49"/>
      <c r="V25" s="49"/>
    </row>
    <row r="26" spans="1:22" ht="17.25" customHeight="1">
      <c r="A26" s="49"/>
      <c r="B26" s="141"/>
      <c r="C26" s="125"/>
      <c r="D26" s="142">
        <v>0</v>
      </c>
      <c r="E26" s="125"/>
      <c r="F26" s="143">
        <f>D26/D28</f>
        <v>0</v>
      </c>
      <c r="G26" s="125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49"/>
      <c r="T26" s="49"/>
      <c r="U26" s="49"/>
      <c r="V26" s="49"/>
    </row>
    <row r="27" spans="1:22" ht="17.25" customHeight="1">
      <c r="A27" s="49"/>
      <c r="B27" s="141"/>
      <c r="C27" s="125"/>
      <c r="D27" s="142">
        <v>0</v>
      </c>
      <c r="E27" s="125"/>
      <c r="F27" s="143">
        <f>D27/D28</f>
        <v>0</v>
      </c>
      <c r="G27" s="125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49"/>
      <c r="T27" s="49"/>
      <c r="U27" s="49"/>
      <c r="V27" s="49"/>
    </row>
    <row r="28" spans="1:22" ht="17.25" customHeight="1">
      <c r="A28" s="49"/>
      <c r="B28" s="144" t="s">
        <v>110</v>
      </c>
      <c r="C28" s="125"/>
      <c r="D28" s="145">
        <f>SUM(D19:E27)</f>
        <v>23400</v>
      </c>
      <c r="E28" s="125"/>
      <c r="F28" s="146">
        <f>SUM(F19:G27)</f>
        <v>0.99999999999999989</v>
      </c>
      <c r="G28" s="125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49"/>
      <c r="T28" s="49"/>
      <c r="U28" s="49"/>
      <c r="V28" s="49"/>
    </row>
    <row r="29" spans="1:22" ht="17.25" customHeight="1">
      <c r="A29" s="49"/>
      <c r="B29" s="50"/>
      <c r="C29" s="50"/>
      <c r="D29" s="50"/>
      <c r="E29" s="50"/>
      <c r="F29" s="49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49"/>
      <c r="T29" s="49"/>
      <c r="U29" s="49"/>
      <c r="V29" s="49"/>
    </row>
    <row r="30" spans="1:22" ht="17.25" customHeight="1">
      <c r="A30" s="49"/>
      <c r="B30" s="50"/>
      <c r="C30" s="50"/>
      <c r="D30" s="50"/>
      <c r="E30" s="50"/>
      <c r="F30" s="49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49"/>
      <c r="T30" s="49"/>
      <c r="U30" s="49"/>
      <c r="V30" s="49"/>
    </row>
    <row r="31" spans="1:22" ht="17.25" customHeight="1">
      <c r="A31" s="49"/>
      <c r="B31" s="50"/>
      <c r="C31" s="50"/>
      <c r="D31" s="50"/>
      <c r="E31" s="50"/>
      <c r="F31" s="49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49"/>
      <c r="T31" s="49"/>
      <c r="U31" s="49"/>
      <c r="V31" s="49"/>
    </row>
    <row r="32" spans="1:22" ht="17.25" customHeight="1">
      <c r="A32" s="49"/>
      <c r="B32" s="50"/>
      <c r="C32" s="50"/>
      <c r="D32" s="50"/>
      <c r="E32" s="50"/>
      <c r="F32" s="49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49"/>
      <c r="T32" s="49"/>
      <c r="U32" s="49"/>
      <c r="V32" s="49"/>
    </row>
    <row r="33" spans="1:22" ht="17.25" customHeight="1">
      <c r="A33" s="49"/>
      <c r="B33" s="50"/>
      <c r="C33" s="50"/>
      <c r="D33" s="50"/>
      <c r="E33" s="50"/>
      <c r="F33" s="49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49"/>
      <c r="T33" s="49"/>
      <c r="U33" s="49"/>
      <c r="V33" s="49"/>
    </row>
    <row r="34" spans="1:22" ht="17.25" customHeight="1">
      <c r="A34" s="49"/>
      <c r="B34" s="50"/>
      <c r="C34" s="50"/>
      <c r="D34" s="50"/>
      <c r="E34" s="50"/>
      <c r="F34" s="49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49"/>
      <c r="T34" s="49"/>
      <c r="U34" s="49"/>
      <c r="V34" s="49"/>
    </row>
    <row r="35" spans="1:22" ht="42.75" customHeight="1">
      <c r="A35" s="147" t="s">
        <v>101</v>
      </c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5"/>
      <c r="V35" s="49"/>
    </row>
    <row r="36" spans="1:22" ht="17.25" customHeight="1">
      <c r="A36" s="49"/>
      <c r="B36" s="50"/>
      <c r="C36" s="50"/>
      <c r="D36" s="50"/>
      <c r="E36" s="50"/>
      <c r="F36" s="49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49"/>
      <c r="T36" s="49"/>
      <c r="U36" s="49"/>
      <c r="V36" s="49"/>
    </row>
    <row r="37" spans="1:22" ht="17.25" customHeight="1">
      <c r="A37" s="49"/>
      <c r="B37" s="50"/>
      <c r="C37" s="50"/>
      <c r="D37" s="50"/>
      <c r="E37" s="50"/>
      <c r="F37" s="49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49"/>
      <c r="T37" s="49"/>
      <c r="U37" s="49"/>
      <c r="V37" s="49"/>
    </row>
    <row r="38" spans="1:22" ht="17.25" customHeight="1">
      <c r="A38" s="49"/>
      <c r="B38" s="50"/>
      <c r="C38" s="50"/>
      <c r="D38" s="50"/>
      <c r="E38" s="50"/>
      <c r="F38" s="49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49"/>
      <c r="T38" s="49"/>
      <c r="U38" s="49"/>
      <c r="V38" s="49"/>
    </row>
    <row r="39" spans="1:22" ht="17.25" customHeight="1">
      <c r="A39" s="49"/>
      <c r="B39" s="52"/>
      <c r="C39" s="52"/>
      <c r="D39" s="52"/>
      <c r="E39" s="52"/>
      <c r="F39" s="52"/>
      <c r="G39" s="154" t="s">
        <v>111</v>
      </c>
      <c r="H39" s="121"/>
      <c r="I39" s="122"/>
      <c r="J39" s="155" t="s">
        <v>112</v>
      </c>
      <c r="K39" s="121"/>
      <c r="L39" s="122"/>
      <c r="M39" s="156" t="s">
        <v>113</v>
      </c>
      <c r="N39" s="121"/>
      <c r="O39" s="122"/>
      <c r="P39" s="155" t="s">
        <v>114</v>
      </c>
      <c r="Q39" s="121"/>
      <c r="R39" s="121"/>
      <c r="S39" s="52"/>
      <c r="T39" s="52"/>
      <c r="U39" s="52"/>
      <c r="V39" s="50"/>
    </row>
    <row r="40" spans="1:22" ht="12.75">
      <c r="A40" s="53"/>
      <c r="B40" s="157" t="s">
        <v>103</v>
      </c>
      <c r="C40" s="159" t="s">
        <v>115</v>
      </c>
      <c r="D40" s="159" t="s">
        <v>116</v>
      </c>
      <c r="E40" s="159" t="s">
        <v>117</v>
      </c>
      <c r="F40" s="159" t="s">
        <v>118</v>
      </c>
      <c r="G40" s="148" t="s">
        <v>119</v>
      </c>
      <c r="H40" s="148" t="s">
        <v>120</v>
      </c>
      <c r="I40" s="148" t="s">
        <v>121</v>
      </c>
      <c r="J40" s="150" t="s">
        <v>122</v>
      </c>
      <c r="K40" s="150" t="s">
        <v>123</v>
      </c>
      <c r="L40" s="150" t="s">
        <v>124</v>
      </c>
      <c r="M40" s="148" t="s">
        <v>125</v>
      </c>
      <c r="N40" s="148" t="s">
        <v>126</v>
      </c>
      <c r="O40" s="148" t="s">
        <v>127</v>
      </c>
      <c r="P40" s="150" t="s">
        <v>128</v>
      </c>
      <c r="Q40" s="150" t="s">
        <v>129</v>
      </c>
      <c r="R40" s="150" t="s">
        <v>130</v>
      </c>
      <c r="S40" s="151" t="s">
        <v>131</v>
      </c>
      <c r="T40" s="151" t="s">
        <v>132</v>
      </c>
      <c r="U40" s="152" t="s">
        <v>133</v>
      </c>
      <c r="V40" s="54"/>
    </row>
    <row r="41" spans="1:22" ht="23.25" customHeight="1">
      <c r="A41" s="53"/>
      <c r="B41" s="158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53"/>
      <c r="V41" s="54"/>
    </row>
    <row r="42" spans="1:22" ht="32.25" customHeight="1">
      <c r="A42" s="53"/>
      <c r="B42" s="165" t="s">
        <v>106</v>
      </c>
      <c r="C42" s="55" t="s">
        <v>134</v>
      </c>
      <c r="D42" s="56" t="s">
        <v>135</v>
      </c>
      <c r="E42" s="57">
        <v>0.65</v>
      </c>
      <c r="F42" s="58">
        <v>520</v>
      </c>
      <c r="G42" s="59">
        <v>500</v>
      </c>
      <c r="H42" s="60">
        <v>518</v>
      </c>
      <c r="I42" s="60">
        <v>525</v>
      </c>
      <c r="J42" s="60">
        <v>540</v>
      </c>
      <c r="K42" s="60">
        <v>550</v>
      </c>
      <c r="L42" s="60">
        <v>545</v>
      </c>
      <c r="M42" s="60">
        <v>580</v>
      </c>
      <c r="N42" s="60">
        <v>570</v>
      </c>
      <c r="O42" s="60"/>
      <c r="P42" s="60"/>
      <c r="Q42" s="60"/>
      <c r="R42" s="60"/>
      <c r="S42" s="61" t="s">
        <v>136</v>
      </c>
      <c r="T42" s="62">
        <v>50</v>
      </c>
      <c r="U42" s="63">
        <f t="shared" ref="U42:U44" si="0">F42/T42</f>
        <v>10.4</v>
      </c>
      <c r="V42" s="54"/>
    </row>
    <row r="43" spans="1:22" ht="33" customHeight="1">
      <c r="A43" s="53"/>
      <c r="B43" s="161"/>
      <c r="C43" s="55" t="s">
        <v>134</v>
      </c>
      <c r="D43" s="56" t="s">
        <v>137</v>
      </c>
      <c r="E43" s="57">
        <v>0.25</v>
      </c>
      <c r="F43" s="58">
        <v>200</v>
      </c>
      <c r="G43" s="64">
        <v>180</v>
      </c>
      <c r="H43" s="65">
        <v>167</v>
      </c>
      <c r="I43" s="65">
        <v>190</v>
      </c>
      <c r="J43" s="65">
        <v>200</v>
      </c>
      <c r="K43" s="65">
        <v>230</v>
      </c>
      <c r="L43" s="65">
        <v>247</v>
      </c>
      <c r="M43" s="65">
        <v>280</v>
      </c>
      <c r="N43" s="65">
        <v>280</v>
      </c>
      <c r="O43" s="65"/>
      <c r="P43" s="65"/>
      <c r="Q43" s="65"/>
      <c r="R43" s="65"/>
      <c r="S43" s="61" t="s">
        <v>138</v>
      </c>
      <c r="T43" s="62">
        <v>50</v>
      </c>
      <c r="U43" s="63">
        <f t="shared" si="0"/>
        <v>4</v>
      </c>
      <c r="V43" s="54"/>
    </row>
    <row r="44" spans="1:22" ht="33" customHeight="1">
      <c r="A44" s="53"/>
      <c r="B44" s="161"/>
      <c r="C44" s="55" t="s">
        <v>139</v>
      </c>
      <c r="D44" s="56" t="s">
        <v>140</v>
      </c>
      <c r="E44" s="57">
        <v>0.1</v>
      </c>
      <c r="F44" s="58">
        <v>80</v>
      </c>
      <c r="G44" s="64">
        <v>80</v>
      </c>
      <c r="H44" s="66">
        <v>80</v>
      </c>
      <c r="I44" s="66">
        <v>77</v>
      </c>
      <c r="J44" s="66">
        <v>52</v>
      </c>
      <c r="K44" s="66">
        <v>46</v>
      </c>
      <c r="L44" s="66">
        <v>30</v>
      </c>
      <c r="M44" s="66" t="s">
        <v>141</v>
      </c>
      <c r="N44" s="66" t="s">
        <v>141</v>
      </c>
      <c r="O44" s="66"/>
      <c r="P44" s="66"/>
      <c r="Q44" s="66"/>
      <c r="R44" s="66"/>
      <c r="S44" s="61" t="s">
        <v>142</v>
      </c>
      <c r="T44" s="62">
        <v>2</v>
      </c>
      <c r="U44" s="63">
        <f t="shared" si="0"/>
        <v>40</v>
      </c>
      <c r="V44" s="54"/>
    </row>
    <row r="45" spans="1:22" ht="33" customHeight="1">
      <c r="A45" s="53"/>
      <c r="B45" s="161"/>
      <c r="C45" s="55"/>
      <c r="D45" s="56"/>
      <c r="E45" s="57"/>
      <c r="F45" s="67"/>
      <c r="G45" s="64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1"/>
      <c r="T45" s="62"/>
      <c r="U45" s="63">
        <v>0</v>
      </c>
      <c r="V45" s="54"/>
    </row>
    <row r="46" spans="1:22" ht="33" customHeight="1">
      <c r="A46" s="53"/>
      <c r="B46" s="158"/>
      <c r="C46" s="55"/>
      <c r="D46" s="56"/>
      <c r="E46" s="57"/>
      <c r="F46" s="58"/>
      <c r="G46" s="68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1"/>
      <c r="T46" s="62"/>
      <c r="U46" s="63">
        <v>0</v>
      </c>
      <c r="V46" s="54"/>
    </row>
    <row r="47" spans="1:22" ht="21" customHeight="1">
      <c r="A47" s="53"/>
      <c r="B47" s="162" t="s">
        <v>143</v>
      </c>
      <c r="C47" s="163"/>
      <c r="D47" s="164"/>
      <c r="E47" s="70">
        <f t="shared" ref="E47:R47" si="1">SUM(E42:E46)</f>
        <v>1</v>
      </c>
      <c r="F47" s="71">
        <f t="shared" si="1"/>
        <v>800</v>
      </c>
      <c r="G47" s="72">
        <f t="shared" si="1"/>
        <v>760</v>
      </c>
      <c r="H47" s="72">
        <f t="shared" si="1"/>
        <v>765</v>
      </c>
      <c r="I47" s="72">
        <f t="shared" si="1"/>
        <v>792</v>
      </c>
      <c r="J47" s="72">
        <f t="shared" si="1"/>
        <v>792</v>
      </c>
      <c r="K47" s="72">
        <f t="shared" si="1"/>
        <v>826</v>
      </c>
      <c r="L47" s="72">
        <f t="shared" si="1"/>
        <v>822</v>
      </c>
      <c r="M47" s="72">
        <f t="shared" si="1"/>
        <v>860</v>
      </c>
      <c r="N47" s="72">
        <f t="shared" si="1"/>
        <v>850</v>
      </c>
      <c r="O47" s="72">
        <f t="shared" si="1"/>
        <v>0</v>
      </c>
      <c r="P47" s="72">
        <f t="shared" si="1"/>
        <v>0</v>
      </c>
      <c r="Q47" s="72">
        <f t="shared" si="1"/>
        <v>0</v>
      </c>
      <c r="R47" s="72">
        <f t="shared" si="1"/>
        <v>0</v>
      </c>
      <c r="S47" s="73">
        <f>SUM(G47:R47)</f>
        <v>6467</v>
      </c>
      <c r="T47" s="74"/>
      <c r="U47" s="75">
        <f>SUM(U42:U46)</f>
        <v>54.4</v>
      </c>
      <c r="V47" s="54"/>
    </row>
    <row r="48" spans="1:22" ht="15.75" customHeight="1">
      <c r="A48" s="166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2"/>
    </row>
    <row r="49" spans="1:22" ht="35.25" customHeight="1">
      <c r="A49" s="53"/>
      <c r="B49" s="160" t="s">
        <v>107</v>
      </c>
      <c r="C49" s="76" t="s">
        <v>134</v>
      </c>
      <c r="D49" s="77" t="s">
        <v>144</v>
      </c>
      <c r="E49" s="78">
        <v>0.4</v>
      </c>
      <c r="F49" s="79">
        <v>280</v>
      </c>
      <c r="G49" s="64">
        <v>200</v>
      </c>
      <c r="H49" s="65">
        <v>230</v>
      </c>
      <c r="I49" s="65">
        <v>260</v>
      </c>
      <c r="J49" s="65">
        <v>270</v>
      </c>
      <c r="K49" s="65">
        <v>280</v>
      </c>
      <c r="L49" s="65">
        <v>280</v>
      </c>
      <c r="M49" s="65">
        <v>280</v>
      </c>
      <c r="N49" s="65">
        <v>280</v>
      </c>
      <c r="O49" s="65"/>
      <c r="P49" s="65"/>
      <c r="Q49" s="80"/>
      <c r="R49" s="64"/>
      <c r="S49" s="81" t="s">
        <v>138</v>
      </c>
      <c r="T49" s="82">
        <v>50</v>
      </c>
      <c r="U49" s="83">
        <f t="shared" ref="U49:U51" si="2">F49/T49</f>
        <v>5.6</v>
      </c>
      <c r="V49" s="54"/>
    </row>
    <row r="50" spans="1:22" ht="34.5" customHeight="1">
      <c r="A50" s="53"/>
      <c r="B50" s="161"/>
      <c r="C50" s="55" t="s">
        <v>134</v>
      </c>
      <c r="D50" s="84" t="s">
        <v>145</v>
      </c>
      <c r="E50" s="57">
        <v>0.2</v>
      </c>
      <c r="F50" s="58">
        <v>140</v>
      </c>
      <c r="G50" s="64">
        <v>97</v>
      </c>
      <c r="H50" s="65">
        <v>103</v>
      </c>
      <c r="I50" s="65">
        <v>111</v>
      </c>
      <c r="J50" s="65">
        <v>123</v>
      </c>
      <c r="K50" s="65">
        <v>128</v>
      </c>
      <c r="L50" s="65">
        <v>134</v>
      </c>
      <c r="M50" s="65">
        <v>140</v>
      </c>
      <c r="N50" s="65">
        <v>140</v>
      </c>
      <c r="O50" s="65"/>
      <c r="P50" s="65"/>
      <c r="Q50" s="80"/>
      <c r="R50" s="64"/>
      <c r="S50" s="61" t="s">
        <v>136</v>
      </c>
      <c r="T50" s="62">
        <v>10</v>
      </c>
      <c r="U50" s="63">
        <f t="shared" si="2"/>
        <v>14</v>
      </c>
      <c r="V50" s="54"/>
    </row>
    <row r="51" spans="1:22" ht="34.5" customHeight="1">
      <c r="A51" s="53"/>
      <c r="B51" s="161"/>
      <c r="C51" s="55" t="s">
        <v>139</v>
      </c>
      <c r="D51" s="84" t="s">
        <v>140</v>
      </c>
      <c r="E51" s="57">
        <v>0.4</v>
      </c>
      <c r="F51" s="58">
        <v>280</v>
      </c>
      <c r="G51" s="85">
        <v>120</v>
      </c>
      <c r="H51" s="66">
        <v>180</v>
      </c>
      <c r="I51" s="66">
        <v>198</v>
      </c>
      <c r="J51" s="66">
        <v>206</v>
      </c>
      <c r="K51" s="66">
        <v>240</v>
      </c>
      <c r="L51" s="66">
        <v>238</v>
      </c>
      <c r="M51" s="66">
        <v>255</v>
      </c>
      <c r="N51" s="66">
        <v>276</v>
      </c>
      <c r="O51" s="66"/>
      <c r="P51" s="66"/>
      <c r="Q51" s="86"/>
      <c r="R51" s="64"/>
      <c r="S51" s="61" t="s">
        <v>146</v>
      </c>
      <c r="T51" s="62">
        <v>1000</v>
      </c>
      <c r="U51" s="63">
        <f t="shared" si="2"/>
        <v>0.28000000000000003</v>
      </c>
      <c r="V51" s="54"/>
    </row>
    <row r="52" spans="1:22" ht="34.5" customHeight="1">
      <c r="A52" s="53"/>
      <c r="B52" s="161"/>
      <c r="C52" s="55"/>
      <c r="D52" s="84"/>
      <c r="E52" s="57"/>
      <c r="F52" s="67"/>
      <c r="G52" s="85"/>
      <c r="H52" s="66"/>
      <c r="I52" s="66"/>
      <c r="J52" s="66"/>
      <c r="K52" s="66"/>
      <c r="L52" s="66"/>
      <c r="M52" s="66"/>
      <c r="N52" s="66"/>
      <c r="O52" s="66"/>
      <c r="P52" s="66"/>
      <c r="Q52" s="86"/>
      <c r="R52" s="64"/>
      <c r="S52" s="61"/>
      <c r="T52" s="62"/>
      <c r="U52" s="63">
        <v>0</v>
      </c>
      <c r="V52" s="54"/>
    </row>
    <row r="53" spans="1:22" ht="34.5" customHeight="1">
      <c r="A53" s="53"/>
      <c r="B53" s="158"/>
      <c r="C53" s="55"/>
      <c r="D53" s="84"/>
      <c r="E53" s="57"/>
      <c r="F53" s="58"/>
      <c r="G53" s="68"/>
      <c r="H53" s="69"/>
      <c r="I53" s="69"/>
      <c r="J53" s="69"/>
      <c r="K53" s="69"/>
      <c r="L53" s="69"/>
      <c r="M53" s="69"/>
      <c r="N53" s="69"/>
      <c r="O53" s="69"/>
      <c r="P53" s="69"/>
      <c r="Q53" s="87"/>
      <c r="R53" s="85"/>
      <c r="S53" s="61"/>
      <c r="T53" s="62"/>
      <c r="U53" s="63">
        <v>0</v>
      </c>
      <c r="V53" s="54"/>
    </row>
    <row r="54" spans="1:22" ht="24" customHeight="1">
      <c r="A54" s="53"/>
      <c r="B54" s="162" t="s">
        <v>147</v>
      </c>
      <c r="C54" s="163"/>
      <c r="D54" s="164"/>
      <c r="E54" s="70">
        <f t="shared" ref="E54:R54" si="3">SUM(E49:E53)</f>
        <v>1</v>
      </c>
      <c r="F54" s="71">
        <f t="shared" si="3"/>
        <v>700</v>
      </c>
      <c r="G54" s="72">
        <f t="shared" si="3"/>
        <v>417</v>
      </c>
      <c r="H54" s="72">
        <f t="shared" si="3"/>
        <v>513</v>
      </c>
      <c r="I54" s="72">
        <f t="shared" si="3"/>
        <v>569</v>
      </c>
      <c r="J54" s="72">
        <f t="shared" si="3"/>
        <v>599</v>
      </c>
      <c r="K54" s="72">
        <f t="shared" si="3"/>
        <v>648</v>
      </c>
      <c r="L54" s="72">
        <f t="shared" si="3"/>
        <v>652</v>
      </c>
      <c r="M54" s="72">
        <f t="shared" si="3"/>
        <v>675</v>
      </c>
      <c r="N54" s="72">
        <f t="shared" si="3"/>
        <v>696</v>
      </c>
      <c r="O54" s="72">
        <f t="shared" si="3"/>
        <v>0</v>
      </c>
      <c r="P54" s="72">
        <f t="shared" si="3"/>
        <v>0</v>
      </c>
      <c r="Q54" s="72">
        <f t="shared" si="3"/>
        <v>0</v>
      </c>
      <c r="R54" s="88">
        <f t="shared" si="3"/>
        <v>0</v>
      </c>
      <c r="S54" s="73">
        <f>SUM(G54:R54)</f>
        <v>4769</v>
      </c>
      <c r="T54" s="74"/>
      <c r="U54" s="75">
        <f>SUM(U49:U50)</f>
        <v>19.600000000000001</v>
      </c>
      <c r="V54" s="54"/>
    </row>
    <row r="55" spans="1:22" ht="18" customHeight="1">
      <c r="A55" s="166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2"/>
    </row>
    <row r="56" spans="1:22" ht="33.75" customHeight="1">
      <c r="A56" s="53"/>
      <c r="B56" s="160" t="s">
        <v>108</v>
      </c>
      <c r="C56" s="76" t="s">
        <v>134</v>
      </c>
      <c r="D56" s="77" t="s">
        <v>148</v>
      </c>
      <c r="E56" s="78">
        <v>0.7</v>
      </c>
      <c r="F56" s="79">
        <v>210</v>
      </c>
      <c r="G56" s="64">
        <v>200</v>
      </c>
      <c r="H56" s="65">
        <v>210</v>
      </c>
      <c r="I56" s="65">
        <v>210</v>
      </c>
      <c r="J56" s="65">
        <v>210</v>
      </c>
      <c r="K56" s="65">
        <v>300</v>
      </c>
      <c r="L56" s="65">
        <v>300</v>
      </c>
      <c r="M56" s="65">
        <v>300</v>
      </c>
      <c r="N56" s="65">
        <v>300</v>
      </c>
      <c r="O56" s="65"/>
      <c r="P56" s="65"/>
      <c r="Q56" s="80"/>
      <c r="R56" s="64"/>
      <c r="S56" s="81" t="s">
        <v>138</v>
      </c>
      <c r="T56" s="82">
        <v>50</v>
      </c>
      <c r="U56" s="83">
        <f t="shared" ref="U56:U57" si="4">F56/T56</f>
        <v>4.2</v>
      </c>
      <c r="V56" s="54"/>
    </row>
    <row r="57" spans="1:22" ht="33" customHeight="1">
      <c r="A57" s="53"/>
      <c r="B57" s="161"/>
      <c r="C57" s="55" t="s">
        <v>134</v>
      </c>
      <c r="D57" s="84" t="s">
        <v>149</v>
      </c>
      <c r="E57" s="57">
        <v>0.3</v>
      </c>
      <c r="F57" s="58">
        <v>90</v>
      </c>
      <c r="G57" s="64">
        <v>90</v>
      </c>
      <c r="H57" s="64">
        <v>90</v>
      </c>
      <c r="I57" s="64">
        <v>90</v>
      </c>
      <c r="J57" s="64">
        <v>90</v>
      </c>
      <c r="K57" s="65" t="s">
        <v>141</v>
      </c>
      <c r="L57" s="65" t="s">
        <v>141</v>
      </c>
      <c r="M57" s="65" t="s">
        <v>141</v>
      </c>
      <c r="N57" s="65" t="s">
        <v>141</v>
      </c>
      <c r="O57" s="65"/>
      <c r="P57" s="65"/>
      <c r="Q57" s="80"/>
      <c r="R57" s="64"/>
      <c r="S57" s="61" t="s">
        <v>136</v>
      </c>
      <c r="T57" s="62">
        <v>10</v>
      </c>
      <c r="U57" s="63">
        <f t="shared" si="4"/>
        <v>9</v>
      </c>
      <c r="V57" s="54"/>
    </row>
    <row r="58" spans="1:22" ht="33" customHeight="1">
      <c r="A58" s="53"/>
      <c r="B58" s="161"/>
      <c r="C58" s="55"/>
      <c r="D58" s="84"/>
      <c r="E58" s="57"/>
      <c r="F58" s="58"/>
      <c r="G58" s="85"/>
      <c r="H58" s="66"/>
      <c r="I58" s="66"/>
      <c r="J58" s="66"/>
      <c r="K58" s="66"/>
      <c r="L58" s="66"/>
      <c r="M58" s="66"/>
      <c r="N58" s="66"/>
      <c r="O58" s="66"/>
      <c r="P58" s="66"/>
      <c r="Q58" s="86"/>
      <c r="R58" s="64"/>
      <c r="S58" s="61"/>
      <c r="T58" s="62"/>
      <c r="U58" s="63">
        <v>0</v>
      </c>
      <c r="V58" s="54"/>
    </row>
    <row r="59" spans="1:22" ht="33" customHeight="1">
      <c r="A59" s="53"/>
      <c r="B59" s="161"/>
      <c r="C59" s="55"/>
      <c r="D59" s="84"/>
      <c r="E59" s="57"/>
      <c r="F59" s="67"/>
      <c r="G59" s="85"/>
      <c r="H59" s="66"/>
      <c r="I59" s="66"/>
      <c r="J59" s="66"/>
      <c r="K59" s="66"/>
      <c r="L59" s="66"/>
      <c r="M59" s="66"/>
      <c r="N59" s="66"/>
      <c r="O59" s="66"/>
      <c r="P59" s="66"/>
      <c r="Q59" s="86"/>
      <c r="R59" s="64"/>
      <c r="S59" s="61"/>
      <c r="T59" s="62"/>
      <c r="U59" s="63">
        <v>0</v>
      </c>
      <c r="V59" s="54"/>
    </row>
    <row r="60" spans="1:22" ht="33" customHeight="1">
      <c r="A60" s="53"/>
      <c r="B60" s="158"/>
      <c r="C60" s="55"/>
      <c r="D60" s="84"/>
      <c r="E60" s="57"/>
      <c r="F60" s="58"/>
      <c r="G60" s="68"/>
      <c r="H60" s="69"/>
      <c r="I60" s="69"/>
      <c r="J60" s="69"/>
      <c r="K60" s="69"/>
      <c r="L60" s="69"/>
      <c r="M60" s="69"/>
      <c r="N60" s="69"/>
      <c r="O60" s="69"/>
      <c r="P60" s="69"/>
      <c r="Q60" s="87"/>
      <c r="R60" s="85"/>
      <c r="S60" s="61"/>
      <c r="T60" s="62"/>
      <c r="U60" s="63">
        <v>0</v>
      </c>
      <c r="V60" s="54"/>
    </row>
    <row r="61" spans="1:22" ht="24" customHeight="1">
      <c r="A61" s="53"/>
      <c r="B61" s="162" t="s">
        <v>150</v>
      </c>
      <c r="C61" s="163"/>
      <c r="D61" s="164"/>
      <c r="E61" s="70">
        <f t="shared" ref="E61:R61" si="5">SUM(E56:E60)</f>
        <v>1</v>
      </c>
      <c r="F61" s="71">
        <f t="shared" si="5"/>
        <v>300</v>
      </c>
      <c r="G61" s="72">
        <f t="shared" si="5"/>
        <v>290</v>
      </c>
      <c r="H61" s="72">
        <f t="shared" si="5"/>
        <v>300</v>
      </c>
      <c r="I61" s="72">
        <f t="shared" si="5"/>
        <v>300</v>
      </c>
      <c r="J61" s="72">
        <f t="shared" si="5"/>
        <v>300</v>
      </c>
      <c r="K61" s="72">
        <f t="shared" si="5"/>
        <v>300</v>
      </c>
      <c r="L61" s="72">
        <f t="shared" si="5"/>
        <v>300</v>
      </c>
      <c r="M61" s="72">
        <f t="shared" si="5"/>
        <v>300</v>
      </c>
      <c r="N61" s="72">
        <f t="shared" si="5"/>
        <v>300</v>
      </c>
      <c r="O61" s="72">
        <f t="shared" si="5"/>
        <v>0</v>
      </c>
      <c r="P61" s="72">
        <f t="shared" si="5"/>
        <v>0</v>
      </c>
      <c r="Q61" s="72">
        <f t="shared" si="5"/>
        <v>0</v>
      </c>
      <c r="R61" s="88">
        <f t="shared" si="5"/>
        <v>0</v>
      </c>
      <c r="S61" s="73">
        <f>SUM(G61:R61)</f>
        <v>2390</v>
      </c>
      <c r="T61" s="74"/>
      <c r="U61" s="75">
        <f>SUM(U56:U57)</f>
        <v>13.2</v>
      </c>
      <c r="V61" s="54"/>
    </row>
    <row r="62" spans="1:22" ht="16.5" customHeight="1">
      <c r="A62" s="166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2"/>
    </row>
    <row r="63" spans="1:22" ht="32.25" customHeight="1">
      <c r="A63" s="53"/>
      <c r="B63" s="160" t="s">
        <v>109</v>
      </c>
      <c r="C63" s="76" t="s">
        <v>139</v>
      </c>
      <c r="D63" s="77" t="s">
        <v>140</v>
      </c>
      <c r="E63" s="78">
        <v>1</v>
      </c>
      <c r="F63" s="79">
        <v>200</v>
      </c>
      <c r="G63" s="64">
        <v>200</v>
      </c>
      <c r="H63" s="65">
        <v>200</v>
      </c>
      <c r="I63" s="65">
        <v>200</v>
      </c>
      <c r="J63" s="65">
        <v>200</v>
      </c>
      <c r="K63" s="65">
        <v>200</v>
      </c>
      <c r="L63" s="65">
        <v>200</v>
      </c>
      <c r="M63" s="65">
        <v>200</v>
      </c>
      <c r="N63" s="65">
        <v>200</v>
      </c>
      <c r="O63" s="65"/>
      <c r="P63" s="65"/>
      <c r="Q63" s="80"/>
      <c r="R63" s="64"/>
      <c r="S63" s="81" t="s">
        <v>151</v>
      </c>
      <c r="T63" s="82">
        <v>10</v>
      </c>
      <c r="U63" s="83">
        <f>F63/T63</f>
        <v>20</v>
      </c>
      <c r="V63" s="54"/>
    </row>
    <row r="64" spans="1:22" ht="32.25" customHeight="1">
      <c r="A64" s="53"/>
      <c r="B64" s="161"/>
      <c r="C64" s="55"/>
      <c r="D64" s="84"/>
      <c r="E64" s="57"/>
      <c r="F64" s="58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80"/>
      <c r="R64" s="64"/>
      <c r="S64" s="61"/>
      <c r="T64" s="62"/>
      <c r="U64" s="63">
        <v>0</v>
      </c>
      <c r="V64" s="54"/>
    </row>
    <row r="65" spans="1:22" ht="32.25" customHeight="1">
      <c r="A65" s="53"/>
      <c r="B65" s="161"/>
      <c r="C65" s="55"/>
      <c r="D65" s="84"/>
      <c r="E65" s="57"/>
      <c r="F65" s="58"/>
      <c r="G65" s="85"/>
      <c r="H65" s="66"/>
      <c r="I65" s="66"/>
      <c r="J65" s="66"/>
      <c r="K65" s="66"/>
      <c r="L65" s="66"/>
      <c r="M65" s="66"/>
      <c r="N65" s="66"/>
      <c r="O65" s="66"/>
      <c r="P65" s="66"/>
      <c r="Q65" s="86"/>
      <c r="R65" s="64"/>
      <c r="S65" s="61"/>
      <c r="T65" s="62"/>
      <c r="U65" s="63">
        <v>0</v>
      </c>
      <c r="V65" s="54"/>
    </row>
    <row r="66" spans="1:22" ht="32.25" customHeight="1">
      <c r="A66" s="53"/>
      <c r="B66" s="161"/>
      <c r="C66" s="55"/>
      <c r="D66" s="84"/>
      <c r="E66" s="57"/>
      <c r="F66" s="67"/>
      <c r="G66" s="85"/>
      <c r="H66" s="66"/>
      <c r="I66" s="66"/>
      <c r="J66" s="66"/>
      <c r="K66" s="66"/>
      <c r="L66" s="66"/>
      <c r="M66" s="66"/>
      <c r="N66" s="66"/>
      <c r="O66" s="66"/>
      <c r="P66" s="66"/>
      <c r="Q66" s="86"/>
      <c r="R66" s="64"/>
      <c r="S66" s="61"/>
      <c r="T66" s="62"/>
      <c r="U66" s="63">
        <v>0</v>
      </c>
      <c r="V66" s="54"/>
    </row>
    <row r="67" spans="1:22" ht="35.25" customHeight="1">
      <c r="A67" s="53"/>
      <c r="B67" s="158"/>
      <c r="C67" s="55"/>
      <c r="D67" s="84"/>
      <c r="E67" s="57"/>
      <c r="F67" s="58"/>
      <c r="G67" s="68"/>
      <c r="H67" s="69"/>
      <c r="I67" s="69"/>
      <c r="J67" s="69"/>
      <c r="K67" s="69"/>
      <c r="L67" s="69"/>
      <c r="M67" s="69"/>
      <c r="N67" s="69"/>
      <c r="O67" s="69"/>
      <c r="P67" s="69"/>
      <c r="Q67" s="87"/>
      <c r="R67" s="85"/>
      <c r="S67" s="61"/>
      <c r="T67" s="62"/>
      <c r="U67" s="63">
        <v>0</v>
      </c>
      <c r="V67" s="54"/>
    </row>
    <row r="68" spans="1:22" ht="21.75" customHeight="1">
      <c r="A68" s="53"/>
      <c r="B68" s="162" t="s">
        <v>152</v>
      </c>
      <c r="C68" s="163"/>
      <c r="D68" s="164"/>
      <c r="E68" s="70">
        <f t="shared" ref="E68:R68" si="6">SUM(E63:E67)</f>
        <v>1</v>
      </c>
      <c r="F68" s="71">
        <f t="shared" si="6"/>
        <v>200</v>
      </c>
      <c r="G68" s="72">
        <f t="shared" si="6"/>
        <v>200</v>
      </c>
      <c r="H68" s="72">
        <f t="shared" si="6"/>
        <v>200</v>
      </c>
      <c r="I68" s="72">
        <f t="shared" si="6"/>
        <v>200</v>
      </c>
      <c r="J68" s="72">
        <f t="shared" si="6"/>
        <v>200</v>
      </c>
      <c r="K68" s="72">
        <f t="shared" si="6"/>
        <v>200</v>
      </c>
      <c r="L68" s="72">
        <f t="shared" si="6"/>
        <v>200</v>
      </c>
      <c r="M68" s="72">
        <f t="shared" si="6"/>
        <v>200</v>
      </c>
      <c r="N68" s="72">
        <f t="shared" si="6"/>
        <v>200</v>
      </c>
      <c r="O68" s="72">
        <f t="shared" si="6"/>
        <v>0</v>
      </c>
      <c r="P68" s="72">
        <f t="shared" si="6"/>
        <v>0</v>
      </c>
      <c r="Q68" s="72">
        <f t="shared" si="6"/>
        <v>0</v>
      </c>
      <c r="R68" s="88">
        <f t="shared" si="6"/>
        <v>0</v>
      </c>
      <c r="S68" s="73">
        <f>SUM(G68:R68)</f>
        <v>1600</v>
      </c>
      <c r="T68" s="74"/>
      <c r="U68" s="75">
        <f>SUM(U63:U64)</f>
        <v>20</v>
      </c>
      <c r="V68" s="54"/>
    </row>
    <row r="69" spans="1:22" ht="16.5" customHeight="1">
      <c r="A69" s="166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2"/>
    </row>
    <row r="70" spans="1:22" ht="35.25" customHeight="1">
      <c r="A70" s="53"/>
      <c r="B70" s="160"/>
      <c r="C70" s="76"/>
      <c r="D70" s="77"/>
      <c r="E70" s="78"/>
      <c r="F70" s="79"/>
      <c r="G70" s="64"/>
      <c r="H70" s="65"/>
      <c r="I70" s="65"/>
      <c r="J70" s="65"/>
      <c r="K70" s="65"/>
      <c r="L70" s="65"/>
      <c r="M70" s="65"/>
      <c r="N70" s="65"/>
      <c r="O70" s="65"/>
      <c r="P70" s="65"/>
      <c r="Q70" s="80"/>
      <c r="R70" s="64"/>
      <c r="S70" s="81"/>
      <c r="T70" s="82"/>
      <c r="U70" s="83">
        <v>0</v>
      </c>
      <c r="V70" s="54"/>
    </row>
    <row r="71" spans="1:22" ht="32.25" customHeight="1">
      <c r="A71" s="53"/>
      <c r="B71" s="161"/>
      <c r="C71" s="55"/>
      <c r="D71" s="84"/>
      <c r="E71" s="57"/>
      <c r="F71" s="58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80"/>
      <c r="R71" s="64"/>
      <c r="S71" s="61"/>
      <c r="T71" s="62"/>
      <c r="U71" s="63">
        <v>0</v>
      </c>
      <c r="V71" s="54"/>
    </row>
    <row r="72" spans="1:22" ht="33" customHeight="1">
      <c r="A72" s="53"/>
      <c r="B72" s="161"/>
      <c r="C72" s="55"/>
      <c r="D72" s="84"/>
      <c r="E72" s="57"/>
      <c r="F72" s="58"/>
      <c r="G72" s="85"/>
      <c r="H72" s="66"/>
      <c r="I72" s="66"/>
      <c r="J72" s="66"/>
      <c r="K72" s="66"/>
      <c r="L72" s="66"/>
      <c r="M72" s="66"/>
      <c r="N72" s="66"/>
      <c r="O72" s="66"/>
      <c r="P72" s="66"/>
      <c r="Q72" s="86"/>
      <c r="R72" s="64"/>
      <c r="S72" s="61"/>
      <c r="T72" s="62"/>
      <c r="U72" s="63">
        <v>0</v>
      </c>
      <c r="V72" s="54"/>
    </row>
    <row r="73" spans="1:22" ht="33.75" customHeight="1">
      <c r="A73" s="53"/>
      <c r="B73" s="161"/>
      <c r="C73" s="55"/>
      <c r="D73" s="84"/>
      <c r="E73" s="57"/>
      <c r="F73" s="67"/>
      <c r="G73" s="85"/>
      <c r="H73" s="66"/>
      <c r="I73" s="66"/>
      <c r="J73" s="66"/>
      <c r="K73" s="66"/>
      <c r="L73" s="66"/>
      <c r="M73" s="66"/>
      <c r="N73" s="66"/>
      <c r="O73" s="66"/>
      <c r="P73" s="66"/>
      <c r="Q73" s="86"/>
      <c r="R73" s="64"/>
      <c r="S73" s="61"/>
      <c r="T73" s="62"/>
      <c r="U73" s="63">
        <v>0</v>
      </c>
      <c r="V73" s="54"/>
    </row>
    <row r="74" spans="1:22" ht="33.75" customHeight="1">
      <c r="A74" s="53"/>
      <c r="B74" s="158"/>
      <c r="C74" s="55"/>
      <c r="D74" s="84"/>
      <c r="E74" s="57"/>
      <c r="F74" s="58"/>
      <c r="G74" s="68"/>
      <c r="H74" s="69"/>
      <c r="I74" s="69"/>
      <c r="J74" s="69"/>
      <c r="K74" s="69"/>
      <c r="L74" s="69"/>
      <c r="M74" s="69"/>
      <c r="N74" s="69"/>
      <c r="O74" s="69"/>
      <c r="P74" s="69"/>
      <c r="Q74" s="87"/>
      <c r="R74" s="85"/>
      <c r="S74" s="61"/>
      <c r="T74" s="62"/>
      <c r="U74" s="63">
        <v>0</v>
      </c>
      <c r="V74" s="54"/>
    </row>
    <row r="75" spans="1:22" ht="16.5" customHeight="1">
      <c r="A75" s="53"/>
      <c r="B75" s="162" t="s">
        <v>152</v>
      </c>
      <c r="C75" s="163"/>
      <c r="D75" s="164"/>
      <c r="E75" s="70">
        <f t="shared" ref="E75:R75" si="7">SUM(E70:E74)</f>
        <v>0</v>
      </c>
      <c r="F75" s="71">
        <f t="shared" si="7"/>
        <v>0</v>
      </c>
      <c r="G75" s="72">
        <f t="shared" si="7"/>
        <v>0</v>
      </c>
      <c r="H75" s="72">
        <f t="shared" si="7"/>
        <v>0</v>
      </c>
      <c r="I75" s="72">
        <f t="shared" si="7"/>
        <v>0</v>
      </c>
      <c r="J75" s="72">
        <f t="shared" si="7"/>
        <v>0</v>
      </c>
      <c r="K75" s="72">
        <f t="shared" si="7"/>
        <v>0</v>
      </c>
      <c r="L75" s="72">
        <f t="shared" si="7"/>
        <v>0</v>
      </c>
      <c r="M75" s="72">
        <f t="shared" si="7"/>
        <v>0</v>
      </c>
      <c r="N75" s="72">
        <f t="shared" si="7"/>
        <v>0</v>
      </c>
      <c r="O75" s="72">
        <f t="shared" si="7"/>
        <v>0</v>
      </c>
      <c r="P75" s="72">
        <f t="shared" si="7"/>
        <v>0</v>
      </c>
      <c r="Q75" s="72">
        <f t="shared" si="7"/>
        <v>0</v>
      </c>
      <c r="R75" s="88">
        <f t="shared" si="7"/>
        <v>0</v>
      </c>
      <c r="S75" s="73">
        <f>SUM(G75:R75)</f>
        <v>0</v>
      </c>
      <c r="T75" s="74"/>
      <c r="U75" s="75">
        <f>SUM(U70:U71)</f>
        <v>0</v>
      </c>
      <c r="V75" s="54"/>
    </row>
    <row r="76" spans="1:22" ht="16.5" customHeight="1">
      <c r="A76" s="166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2"/>
    </row>
    <row r="77" spans="1:22" ht="32.25" customHeight="1">
      <c r="A77" s="49"/>
      <c r="B77" s="172" t="s">
        <v>153</v>
      </c>
      <c r="C77" s="114"/>
      <c r="D77" s="173"/>
      <c r="E77" s="89">
        <f>F28</f>
        <v>0.99999999999999989</v>
      </c>
      <c r="F77" s="90">
        <f>D28</f>
        <v>23400</v>
      </c>
      <c r="G77" s="90">
        <f t="shared" ref="G77:R77" si="8">SUM(G47,G54,G61,G68,G75)</f>
        <v>1667</v>
      </c>
      <c r="H77" s="90">
        <f t="shared" si="8"/>
        <v>1778</v>
      </c>
      <c r="I77" s="90">
        <f t="shared" si="8"/>
        <v>1861</v>
      </c>
      <c r="J77" s="90">
        <f t="shared" si="8"/>
        <v>1891</v>
      </c>
      <c r="K77" s="90">
        <f t="shared" si="8"/>
        <v>1974</v>
      </c>
      <c r="L77" s="90">
        <f t="shared" si="8"/>
        <v>1974</v>
      </c>
      <c r="M77" s="90">
        <f t="shared" si="8"/>
        <v>2035</v>
      </c>
      <c r="N77" s="90">
        <f t="shared" si="8"/>
        <v>2046</v>
      </c>
      <c r="O77" s="90">
        <f t="shared" si="8"/>
        <v>0</v>
      </c>
      <c r="P77" s="90">
        <f t="shared" si="8"/>
        <v>0</v>
      </c>
      <c r="Q77" s="90">
        <f t="shared" si="8"/>
        <v>0</v>
      </c>
      <c r="R77" s="90">
        <f t="shared" si="8"/>
        <v>0</v>
      </c>
      <c r="S77" s="91">
        <f>SUM(G77:R77)</f>
        <v>15226</v>
      </c>
      <c r="T77" s="50"/>
      <c r="U77" s="50"/>
      <c r="V77" s="50"/>
    </row>
    <row r="78" spans="1:22" ht="12.75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spans="1:22" ht="12.75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spans="1:22" ht="12.75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spans="1:22" ht="12.75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spans="1:22" ht="12.7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spans="1:22" ht="12.7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spans="1:22" ht="12.75">
      <c r="A84" s="50"/>
      <c r="B84" s="50"/>
      <c r="C84" s="174" t="s">
        <v>154</v>
      </c>
      <c r="D84" s="121"/>
      <c r="E84" s="121"/>
      <c r="F84" s="121"/>
      <c r="G84" s="121"/>
      <c r="H84" s="121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spans="1:22" ht="12.75">
      <c r="A85" s="50"/>
      <c r="B85" s="50"/>
      <c r="C85" s="175" t="s">
        <v>155</v>
      </c>
      <c r="D85" s="116"/>
      <c r="E85" s="116"/>
      <c r="F85" s="116"/>
      <c r="G85" s="116"/>
      <c r="H85" s="116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spans="1:22" ht="12.75" collapsed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spans="1:22" ht="12.75" hidden="1" outlineLevel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spans="1:22" ht="12.75" hidden="1" outlineLevel="1">
      <c r="A88" s="50"/>
      <c r="B88" s="50"/>
      <c r="C88" s="176" t="s">
        <v>156</v>
      </c>
      <c r="D88" s="124"/>
      <c r="E88" s="124"/>
      <c r="F88" s="124"/>
      <c r="G88" s="124"/>
      <c r="H88" s="124"/>
      <c r="I88" s="125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spans="1:22" ht="12.75" hidden="1" outlineLevel="1">
      <c r="A89" s="50"/>
      <c r="B89" s="50"/>
      <c r="C89" s="92"/>
      <c r="D89" s="92"/>
      <c r="E89" s="92"/>
      <c r="F89" s="92"/>
      <c r="G89" s="92"/>
      <c r="H89" s="92"/>
      <c r="I89" s="92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spans="1:22" ht="12.75" hidden="1" outlineLevel="1">
      <c r="A90" s="50"/>
      <c r="B90" s="93"/>
      <c r="C90" s="177" t="s">
        <v>157</v>
      </c>
      <c r="D90" s="116"/>
      <c r="E90" s="116"/>
      <c r="F90" s="116"/>
      <c r="G90" s="116"/>
      <c r="H90" s="116"/>
      <c r="I90" s="116"/>
      <c r="J90" s="117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spans="1:22" ht="12.75" hidden="1" outlineLevel="1">
      <c r="A91" s="50"/>
      <c r="B91" s="93"/>
      <c r="C91" s="178"/>
      <c r="D91" s="114"/>
      <c r="E91" s="114"/>
      <c r="F91" s="114"/>
      <c r="G91" s="114"/>
      <c r="H91" s="114"/>
      <c r="I91" s="114"/>
      <c r="J91" s="119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spans="1:22" ht="12.75" hidden="1" outlineLevel="1">
      <c r="A92" s="50"/>
      <c r="B92" s="93"/>
      <c r="C92" s="178"/>
      <c r="D92" s="114"/>
      <c r="E92" s="114"/>
      <c r="F92" s="114"/>
      <c r="G92" s="114"/>
      <c r="H92" s="114"/>
      <c r="I92" s="114"/>
      <c r="J92" s="119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spans="1:22" ht="12.75" hidden="1" outlineLevel="1">
      <c r="A93" s="50"/>
      <c r="B93" s="93"/>
      <c r="C93" s="179"/>
      <c r="D93" s="121"/>
      <c r="E93" s="121"/>
      <c r="F93" s="121"/>
      <c r="G93" s="121"/>
      <c r="H93" s="121"/>
      <c r="I93" s="121"/>
      <c r="J93" s="122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spans="1:22" ht="12.75" hidden="1" outlineLevel="1">
      <c r="A94" s="50"/>
      <c r="B94" s="50"/>
      <c r="C94" s="92"/>
      <c r="D94" s="92"/>
      <c r="E94" s="92"/>
      <c r="F94" s="92"/>
      <c r="G94" s="92"/>
      <c r="H94" s="92"/>
      <c r="I94" s="92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spans="1:22" ht="12.75" hidden="1" outlineLevel="1">
      <c r="A95" s="50"/>
      <c r="B95" s="50"/>
      <c r="C95" s="92" t="s">
        <v>158</v>
      </c>
      <c r="D95" s="92"/>
      <c r="E95" s="92"/>
      <c r="F95" s="92"/>
      <c r="G95" s="92"/>
      <c r="H95" s="92"/>
      <c r="I95" s="92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spans="1:22" ht="12.75" hidden="1" outlineLevel="1">
      <c r="A96" s="50"/>
      <c r="B96" s="50"/>
      <c r="C96" s="92"/>
      <c r="D96" s="92"/>
      <c r="E96" s="92"/>
      <c r="F96" s="92"/>
      <c r="G96" s="92"/>
      <c r="H96" s="92"/>
      <c r="I96" s="92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spans="1:22" ht="12.75">
      <c r="A97" s="50"/>
      <c r="B97" s="50"/>
      <c r="C97" s="92"/>
      <c r="D97" s="92"/>
      <c r="E97" s="92"/>
      <c r="F97" s="92"/>
      <c r="G97" s="92"/>
      <c r="H97" s="92"/>
      <c r="I97" s="92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</sheetData>
  <mergeCells count="88">
    <mergeCell ref="C88:I88"/>
    <mergeCell ref="C90:J93"/>
    <mergeCell ref="A69:V69"/>
    <mergeCell ref="A76:V76"/>
    <mergeCell ref="B70:B74"/>
    <mergeCell ref="B75:D75"/>
    <mergeCell ref="B77:D77"/>
    <mergeCell ref="C84:H84"/>
    <mergeCell ref="C85:H85"/>
    <mergeCell ref="B25:C25"/>
    <mergeCell ref="D25:E25"/>
    <mergeCell ref="F25:G25"/>
    <mergeCell ref="B26:C26"/>
    <mergeCell ref="B63:B67"/>
    <mergeCell ref="B23:C23"/>
    <mergeCell ref="D23:E23"/>
    <mergeCell ref="F23:G23"/>
    <mergeCell ref="B24:C24"/>
    <mergeCell ref="D24:E24"/>
    <mergeCell ref="F24:G24"/>
    <mergeCell ref="D21:E21"/>
    <mergeCell ref="F21:G21"/>
    <mergeCell ref="B21:C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A12:U12"/>
    <mergeCell ref="B17:G17"/>
    <mergeCell ref="B18:C18"/>
    <mergeCell ref="D18:E18"/>
    <mergeCell ref="F18:G18"/>
    <mergeCell ref="A3:D8"/>
    <mergeCell ref="E3:U6"/>
    <mergeCell ref="E7:F8"/>
    <mergeCell ref="G7:I8"/>
    <mergeCell ref="L7:L8"/>
    <mergeCell ref="M7:N8"/>
    <mergeCell ref="Q7:Q8"/>
    <mergeCell ref="R7:T8"/>
    <mergeCell ref="B54:D54"/>
    <mergeCell ref="B56:B60"/>
    <mergeCell ref="B61:D61"/>
    <mergeCell ref="B68:D68"/>
    <mergeCell ref="C40:C41"/>
    <mergeCell ref="D40:D41"/>
    <mergeCell ref="B42:B46"/>
    <mergeCell ref="B47:D47"/>
    <mergeCell ref="A48:V48"/>
    <mergeCell ref="A55:V55"/>
    <mergeCell ref="A62:V62"/>
    <mergeCell ref="P39:R39"/>
    <mergeCell ref="B40:B41"/>
    <mergeCell ref="E40:E41"/>
    <mergeCell ref="F40:F41"/>
    <mergeCell ref="B49:B53"/>
    <mergeCell ref="D26:E26"/>
    <mergeCell ref="F26:G26"/>
    <mergeCell ref="G39:I39"/>
    <mergeCell ref="J39:L39"/>
    <mergeCell ref="M39:O39"/>
    <mergeCell ref="A35:U35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B27:C27"/>
    <mergeCell ref="D27:E27"/>
    <mergeCell ref="F27:G27"/>
    <mergeCell ref="B28:C28"/>
    <mergeCell ref="D28:E28"/>
    <mergeCell ref="F28:G28"/>
  </mergeCells>
  <dataValidations count="10">
    <dataValidation type="list" allowBlank="1" showErrorMessage="1" sqref="R7" xr:uid="{00000000-0002-0000-0200-000000000000}">
      <formula1>"Finalizado,Em produção,Pendente"</formula1>
    </dataValidation>
    <dataValidation type="list" allowBlank="1" sqref="B47 B54 B61 B68 B75" xr:uid="{00000000-0002-0000-0200-000001000000}">
      <formula1>"TOTAL GOOGLE ADS,TOTAL META ADS,TOTAL LINKEDIN ADS,TOTAL TWITTER ADS,TOTAL YOUTUBE ADS,TOTAL MÍDIA PROGRAMÁTICA,TOTAL BING ADS,TOTAL MARKETPLACE,TOTAL OUTROS"</formula1>
    </dataValidation>
    <dataValidation type="list" allowBlank="1" sqref="B19:B27 B42 B49 B56 B63 B70" xr:uid="{00000000-0002-0000-0200-000002000000}">
      <formula1>"Google Ads,Meta Ads,LinkedIn Ads,Twitter Ads,YouTube Ads,Mídia Programática,Bing Ads,Marketplace,Outros"</formula1>
    </dataValidation>
    <dataValidation type="list" allowBlank="1" sqref="C42:C46 C49:C53 C56:C60 C63:C67 C70:C74" xr:uid="{00000000-0002-0000-0200-000003000000}">
      <formula1>"CPC,CPM,CPV,CPD,CPL,NENHUM"</formula1>
    </dataValidation>
    <dataValidation type="list" allowBlank="1" sqref="B77" xr:uid="{00000000-0002-0000-0200-000004000000}">
      <formula1>"TOTAL GOOGLE,TOTAL FACEBOOK,TOTAL LINKEDIN,TOTAL OATH,TOTAL PREDICTA,TOTAL KENSHOO,TOTAL INFOMONEY,TOTAL ADMINISTRADORES,TOTAL GO FOR LEADS,TOTAL TWITTER,INVESTIMENTO TOTAL"</formula1>
    </dataValidation>
    <dataValidation type="list" allowBlank="1" sqref="D49:D53 D56:D60 D63:D67 D70:D74" xr:uid="{00000000-0002-0000-0200-000005000000}">
      <formula1>"Page Post/Carrossel/Stories/Video,Page Post/Carrossel/Stories,Page Post/Carrossel,Page Post,Carrossel,Stories,Video,Post Patrocinado,Search,Display,InMail,Content,TextAds,Otimização,Remarketing"</formula1>
    </dataValidation>
    <dataValidation type="list" allowBlank="1" sqref="D42:D46" xr:uid="{00000000-0002-0000-0200-000006000000}">
      <formula1>"Page Post/Carrossel/Stories/Video,Page Post/Carrossel/Stories,Page Post/Carrossel,Page Post,Carrossel,Stories,Video,Post Patrocinado,Search,Display,InMail,Content,TextAds,Native,Otimização"</formula1>
    </dataValidation>
    <dataValidation type="list" allowBlank="1" sqref="S42:S46 S49:S52 S56:S59 S63:S66 S70:S73" xr:uid="{00000000-0002-0000-0200-000007000000}">
      <formula1>"Impressões,Conversão,Tráfego,Leads,Cliente,Views"</formula1>
    </dataValidation>
    <dataValidation type="list" allowBlank="1" sqref="G40:R40" xr:uid="{00000000-0002-0000-0200-000008000000}">
      <formula1>"JANEIRO,FEVEREIRO,MARÇO,ABRIL,MAIO,JUNHO,JULHO,AGOSTO,SETEMBRO,OUTUBRO,NOVEMBRO,DEZEMBRO"</formula1>
    </dataValidation>
    <dataValidation type="list" allowBlank="1" sqref="S53 S60 S67 S74" xr:uid="{00000000-0002-0000-0200-000009000000}">
      <formula1>"Impressões,Conversão,Tráfego,Leads,Conv/Leads,Otimizações,Views,Envolvimento"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79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6" width="16.28515625" customWidth="1"/>
    <col min="17" max="17" width="13.1406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13"/>
      <c r="B3" s="114"/>
      <c r="C3" s="114"/>
      <c r="D3" s="6"/>
      <c r="E3" s="115" t="s">
        <v>159</v>
      </c>
      <c r="F3" s="116"/>
      <c r="G3" s="116"/>
      <c r="H3" s="116"/>
      <c r="I3" s="116"/>
      <c r="J3" s="116"/>
      <c r="K3" s="116"/>
      <c r="L3" s="116"/>
      <c r="M3" s="116"/>
      <c r="N3" s="117"/>
      <c r="O3" s="94"/>
      <c r="P3" s="94"/>
      <c r="Q3" s="1"/>
    </row>
    <row r="4" spans="1:17" ht="20.2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9"/>
      <c r="O4" s="94"/>
      <c r="P4" s="94"/>
      <c r="Q4" s="1"/>
    </row>
    <row r="5" spans="1:17" ht="20.2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9"/>
      <c r="O5" s="94"/>
      <c r="P5" s="94"/>
      <c r="Q5" s="1"/>
    </row>
    <row r="6" spans="1:17" ht="20.2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2"/>
      <c r="O6" s="94"/>
      <c r="P6" s="94"/>
      <c r="Q6" s="1"/>
    </row>
    <row r="7" spans="1:17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3"/>
      <c r="P7" s="13"/>
      <c r="Q7" s="1"/>
    </row>
    <row r="8" spans="1:17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3"/>
      <c r="P8" s="1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147" t="s">
        <v>160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96"/>
    </row>
    <row r="13" spans="1:17" ht="22.5" customHeight="1">
      <c r="A13" s="188" t="s">
        <v>161</v>
      </c>
      <c r="B13" s="119"/>
      <c r="C13" s="186" t="s">
        <v>162</v>
      </c>
      <c r="D13" s="114"/>
      <c r="E13" s="186" t="s">
        <v>163</v>
      </c>
      <c r="F13" s="119"/>
      <c r="G13" s="186" t="s">
        <v>164</v>
      </c>
      <c r="H13" s="119"/>
      <c r="I13" s="186" t="s">
        <v>165</v>
      </c>
      <c r="J13" s="119"/>
      <c r="K13" s="186" t="s">
        <v>166</v>
      </c>
      <c r="L13" s="114"/>
      <c r="M13" s="114"/>
      <c r="N13" s="119"/>
      <c r="O13" s="187" t="s">
        <v>167</v>
      </c>
      <c r="P13" s="114"/>
      <c r="Q13" s="11"/>
    </row>
    <row r="14" spans="1:17" ht="22.5" customHeight="1">
      <c r="A14" s="114"/>
      <c r="B14" s="119"/>
      <c r="C14" s="118"/>
      <c r="D14" s="114"/>
      <c r="E14" s="118"/>
      <c r="F14" s="119"/>
      <c r="G14" s="118"/>
      <c r="H14" s="119"/>
      <c r="I14" s="118"/>
      <c r="J14" s="119"/>
      <c r="K14" s="118"/>
      <c r="L14" s="114"/>
      <c r="M14" s="114"/>
      <c r="N14" s="119"/>
      <c r="O14" s="114"/>
      <c r="P14" s="114"/>
      <c r="Q14" s="11"/>
    </row>
    <row r="15" spans="1:17" ht="22.5" customHeight="1">
      <c r="A15" s="189" t="s">
        <v>168</v>
      </c>
      <c r="B15" s="135"/>
      <c r="C15" s="182" t="s">
        <v>169</v>
      </c>
      <c r="D15" s="114"/>
      <c r="E15" s="182" t="s">
        <v>170</v>
      </c>
      <c r="F15" s="135"/>
      <c r="G15" s="182" t="s">
        <v>171</v>
      </c>
      <c r="H15" s="135"/>
      <c r="I15" s="182" t="s">
        <v>141</v>
      </c>
      <c r="J15" s="135"/>
      <c r="K15" s="182" t="s">
        <v>172</v>
      </c>
      <c r="L15" s="114"/>
      <c r="M15" s="114"/>
      <c r="N15" s="135"/>
      <c r="O15" s="182" t="s">
        <v>173</v>
      </c>
      <c r="P15" s="135"/>
      <c r="Q15" s="11"/>
    </row>
    <row r="16" spans="1:17" ht="22.5" customHeight="1">
      <c r="A16" s="110"/>
      <c r="B16" s="112"/>
      <c r="C16" s="110"/>
      <c r="D16" s="111"/>
      <c r="E16" s="110"/>
      <c r="F16" s="112"/>
      <c r="G16" s="110"/>
      <c r="H16" s="112"/>
      <c r="I16" s="110"/>
      <c r="J16" s="112"/>
      <c r="K16" s="110"/>
      <c r="L16" s="111"/>
      <c r="M16" s="111"/>
      <c r="N16" s="112"/>
      <c r="O16" s="110"/>
      <c r="P16" s="112"/>
      <c r="Q16" s="11"/>
    </row>
    <row r="17" spans="1:17" ht="22.5" customHeight="1">
      <c r="A17" s="180" t="s">
        <v>168</v>
      </c>
      <c r="B17" s="135"/>
      <c r="C17" s="181" t="s">
        <v>174</v>
      </c>
      <c r="D17" s="114"/>
      <c r="E17" s="181" t="s">
        <v>170</v>
      </c>
      <c r="F17" s="135"/>
      <c r="G17" s="181" t="s">
        <v>175</v>
      </c>
      <c r="H17" s="135"/>
      <c r="I17" s="190" t="s">
        <v>176</v>
      </c>
      <c r="J17" s="135"/>
      <c r="K17" s="181" t="s">
        <v>177</v>
      </c>
      <c r="L17" s="114"/>
      <c r="M17" s="114"/>
      <c r="N17" s="135"/>
      <c r="O17" s="181" t="s">
        <v>178</v>
      </c>
      <c r="P17" s="135"/>
      <c r="Q17" s="11"/>
    </row>
    <row r="18" spans="1:17" ht="22.5" customHeight="1">
      <c r="A18" s="110"/>
      <c r="B18" s="112"/>
      <c r="C18" s="110"/>
      <c r="D18" s="111"/>
      <c r="E18" s="110"/>
      <c r="F18" s="112"/>
      <c r="G18" s="110"/>
      <c r="H18" s="112"/>
      <c r="I18" s="110"/>
      <c r="J18" s="112"/>
      <c r="K18" s="110"/>
      <c r="L18" s="111"/>
      <c r="M18" s="111"/>
      <c r="N18" s="112"/>
      <c r="O18" s="110"/>
      <c r="P18" s="112"/>
      <c r="Q18" s="11"/>
    </row>
    <row r="19" spans="1:17" ht="22.5" customHeight="1">
      <c r="A19" s="189" t="s">
        <v>168</v>
      </c>
      <c r="B19" s="135"/>
      <c r="C19" s="182" t="s">
        <v>179</v>
      </c>
      <c r="D19" s="114"/>
      <c r="E19" s="182" t="s">
        <v>180</v>
      </c>
      <c r="F19" s="135"/>
      <c r="G19" s="182" t="s">
        <v>181</v>
      </c>
      <c r="H19" s="135"/>
      <c r="I19" s="191" t="s">
        <v>182</v>
      </c>
      <c r="J19" s="135"/>
      <c r="K19" s="182" t="s">
        <v>183</v>
      </c>
      <c r="L19" s="114"/>
      <c r="M19" s="114"/>
      <c r="N19" s="135"/>
      <c r="O19" s="182" t="s">
        <v>184</v>
      </c>
      <c r="P19" s="135"/>
      <c r="Q19" s="11"/>
    </row>
    <row r="20" spans="1:17" ht="22.5" customHeight="1">
      <c r="A20" s="110"/>
      <c r="B20" s="112"/>
      <c r="C20" s="110"/>
      <c r="D20" s="111"/>
      <c r="E20" s="110"/>
      <c r="F20" s="112"/>
      <c r="G20" s="110"/>
      <c r="H20" s="112"/>
      <c r="I20" s="110"/>
      <c r="J20" s="112"/>
      <c r="K20" s="110"/>
      <c r="L20" s="111"/>
      <c r="M20" s="111"/>
      <c r="N20" s="112"/>
      <c r="O20" s="110"/>
      <c r="P20" s="112"/>
      <c r="Q20" s="11"/>
    </row>
    <row r="21" spans="1:17" ht="22.5" customHeight="1">
      <c r="A21" s="189" t="s">
        <v>168</v>
      </c>
      <c r="B21" s="135"/>
      <c r="C21" s="182" t="s">
        <v>185</v>
      </c>
      <c r="D21" s="114"/>
      <c r="E21" s="182" t="s">
        <v>186</v>
      </c>
      <c r="F21" s="135"/>
      <c r="G21" s="182" t="s">
        <v>141</v>
      </c>
      <c r="H21" s="135"/>
      <c r="I21" s="191" t="s">
        <v>141</v>
      </c>
      <c r="J21" s="135"/>
      <c r="K21" s="182" t="s">
        <v>187</v>
      </c>
      <c r="L21" s="114"/>
      <c r="M21" s="114"/>
      <c r="N21" s="135"/>
      <c r="O21" s="182" t="s">
        <v>188</v>
      </c>
      <c r="P21" s="135"/>
      <c r="Q21" s="11"/>
    </row>
    <row r="22" spans="1:17" ht="22.5" customHeight="1">
      <c r="A22" s="110"/>
      <c r="B22" s="112"/>
      <c r="C22" s="110"/>
      <c r="D22" s="111"/>
      <c r="E22" s="110"/>
      <c r="F22" s="112"/>
      <c r="G22" s="110"/>
      <c r="H22" s="112"/>
      <c r="I22" s="110"/>
      <c r="J22" s="112"/>
      <c r="K22" s="110"/>
      <c r="L22" s="111"/>
      <c r="M22" s="111"/>
      <c r="N22" s="112"/>
      <c r="O22" s="110"/>
      <c r="P22" s="112"/>
      <c r="Q22" s="11"/>
    </row>
    <row r="23" spans="1:17" ht="22.5" customHeight="1">
      <c r="A23" s="189" t="s">
        <v>168</v>
      </c>
      <c r="B23" s="135"/>
      <c r="C23" s="182" t="s">
        <v>189</v>
      </c>
      <c r="D23" s="114"/>
      <c r="E23" s="182" t="s">
        <v>190</v>
      </c>
      <c r="F23" s="135"/>
      <c r="G23" s="182" t="s">
        <v>141</v>
      </c>
      <c r="H23" s="135"/>
      <c r="I23" s="182" t="s">
        <v>191</v>
      </c>
      <c r="J23" s="135"/>
      <c r="K23" s="182" t="s">
        <v>192</v>
      </c>
      <c r="L23" s="114"/>
      <c r="M23" s="114"/>
      <c r="N23" s="135"/>
      <c r="O23" s="182" t="s">
        <v>173</v>
      </c>
      <c r="P23" s="135"/>
      <c r="Q23" s="11"/>
    </row>
    <row r="24" spans="1:17" ht="22.5" customHeight="1">
      <c r="A24" s="110"/>
      <c r="B24" s="112"/>
      <c r="C24" s="110"/>
      <c r="D24" s="111"/>
      <c r="E24" s="110"/>
      <c r="F24" s="112"/>
      <c r="G24" s="110"/>
      <c r="H24" s="112"/>
      <c r="I24" s="110"/>
      <c r="J24" s="112"/>
      <c r="K24" s="110"/>
      <c r="L24" s="111"/>
      <c r="M24" s="111"/>
      <c r="N24" s="112"/>
      <c r="O24" s="110"/>
      <c r="P24" s="112"/>
      <c r="Q24" s="11"/>
    </row>
    <row r="25" spans="1:17" ht="22.5" customHeight="1">
      <c r="A25" s="188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9"/>
      <c r="Q25" s="11"/>
    </row>
    <row r="26" spans="1:17" ht="22.5" customHeight="1">
      <c r="A26" s="189" t="s">
        <v>106</v>
      </c>
      <c r="B26" s="135"/>
      <c r="C26" s="182" t="s">
        <v>193</v>
      </c>
      <c r="D26" s="114"/>
      <c r="E26" s="182" t="s">
        <v>141</v>
      </c>
      <c r="F26" s="135"/>
      <c r="G26" s="182" t="s">
        <v>194</v>
      </c>
      <c r="H26" s="135"/>
      <c r="I26" s="182" t="s">
        <v>141</v>
      </c>
      <c r="J26" s="135"/>
      <c r="K26" s="182" t="s">
        <v>195</v>
      </c>
      <c r="L26" s="114"/>
      <c r="M26" s="114"/>
      <c r="N26" s="135"/>
      <c r="O26" s="182" t="s">
        <v>188</v>
      </c>
      <c r="P26" s="135"/>
      <c r="Q26" s="11"/>
    </row>
    <row r="27" spans="1:17" ht="22.5" customHeight="1">
      <c r="A27" s="110"/>
      <c r="B27" s="112"/>
      <c r="C27" s="110"/>
      <c r="D27" s="111"/>
      <c r="E27" s="110"/>
      <c r="F27" s="112"/>
      <c r="G27" s="110"/>
      <c r="H27" s="112"/>
      <c r="I27" s="110"/>
      <c r="J27" s="112"/>
      <c r="K27" s="110"/>
      <c r="L27" s="111"/>
      <c r="M27" s="111"/>
      <c r="N27" s="112"/>
      <c r="O27" s="110"/>
      <c r="P27" s="112"/>
      <c r="Q27" s="11"/>
    </row>
    <row r="28" spans="1:17" ht="22.5" customHeight="1">
      <c r="A28" s="189" t="s">
        <v>106</v>
      </c>
      <c r="B28" s="135"/>
      <c r="C28" s="182" t="s">
        <v>196</v>
      </c>
      <c r="D28" s="114"/>
      <c r="E28" s="182" t="s">
        <v>197</v>
      </c>
      <c r="F28" s="135"/>
      <c r="G28" s="182" t="s">
        <v>198</v>
      </c>
      <c r="H28" s="135"/>
      <c r="I28" s="191" t="s">
        <v>141</v>
      </c>
      <c r="J28" s="135"/>
      <c r="K28" s="182" t="s">
        <v>199</v>
      </c>
      <c r="L28" s="114"/>
      <c r="M28" s="114"/>
      <c r="N28" s="135"/>
      <c r="O28" s="182" t="s">
        <v>178</v>
      </c>
      <c r="P28" s="135"/>
      <c r="Q28" s="11"/>
    </row>
    <row r="29" spans="1:17" ht="22.5" customHeight="1">
      <c r="A29" s="110"/>
      <c r="B29" s="112"/>
      <c r="C29" s="110"/>
      <c r="D29" s="111"/>
      <c r="E29" s="110"/>
      <c r="F29" s="112"/>
      <c r="G29" s="110"/>
      <c r="H29" s="112"/>
      <c r="I29" s="110"/>
      <c r="J29" s="112"/>
      <c r="K29" s="110"/>
      <c r="L29" s="111"/>
      <c r="M29" s="111"/>
      <c r="N29" s="112"/>
      <c r="O29" s="110"/>
      <c r="P29" s="112"/>
      <c r="Q29" s="11"/>
    </row>
    <row r="30" spans="1:17" ht="22.5" customHeight="1">
      <c r="A30" s="189" t="s">
        <v>106</v>
      </c>
      <c r="B30" s="135"/>
      <c r="C30" s="182" t="s">
        <v>200</v>
      </c>
      <c r="D30" s="114"/>
      <c r="E30" s="182" t="s">
        <v>201</v>
      </c>
      <c r="F30" s="135"/>
      <c r="G30" s="182" t="s">
        <v>141</v>
      </c>
      <c r="H30" s="135"/>
      <c r="I30" s="191" t="s">
        <v>141</v>
      </c>
      <c r="J30" s="135"/>
      <c r="K30" s="182" t="s">
        <v>202</v>
      </c>
      <c r="L30" s="114"/>
      <c r="M30" s="114"/>
      <c r="N30" s="135"/>
      <c r="O30" s="182" t="s">
        <v>178</v>
      </c>
      <c r="P30" s="135"/>
      <c r="Q30" s="11"/>
    </row>
    <row r="31" spans="1:17" ht="22.5" customHeight="1">
      <c r="A31" s="110"/>
      <c r="B31" s="112"/>
      <c r="C31" s="110"/>
      <c r="D31" s="111"/>
      <c r="E31" s="110"/>
      <c r="F31" s="112"/>
      <c r="G31" s="110"/>
      <c r="H31" s="112"/>
      <c r="I31" s="110"/>
      <c r="J31" s="112"/>
      <c r="K31" s="110"/>
      <c r="L31" s="111"/>
      <c r="M31" s="111"/>
      <c r="N31" s="112"/>
      <c r="O31" s="110"/>
      <c r="P31" s="112"/>
      <c r="Q31" s="11"/>
    </row>
    <row r="32" spans="1:17" ht="22.5" customHeight="1">
      <c r="A32" s="188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9"/>
      <c r="Q32" s="11"/>
    </row>
    <row r="33" spans="1:17" ht="22.5" customHeight="1">
      <c r="A33" s="180" t="s">
        <v>109</v>
      </c>
      <c r="B33" s="135"/>
      <c r="C33" s="181" t="s">
        <v>203</v>
      </c>
      <c r="D33" s="114"/>
      <c r="E33" s="181" t="s">
        <v>204</v>
      </c>
      <c r="F33" s="135"/>
      <c r="G33" s="181" t="s">
        <v>141</v>
      </c>
      <c r="H33" s="135"/>
      <c r="I33" s="190" t="s">
        <v>205</v>
      </c>
      <c r="J33" s="135"/>
      <c r="K33" s="181" t="s">
        <v>206</v>
      </c>
      <c r="L33" s="114"/>
      <c r="M33" s="114"/>
      <c r="N33" s="135"/>
      <c r="O33" s="168" t="s">
        <v>207</v>
      </c>
      <c r="P33" s="135"/>
      <c r="Q33" s="11"/>
    </row>
    <row r="34" spans="1:17" ht="22.5" customHeight="1">
      <c r="A34" s="110"/>
      <c r="B34" s="112"/>
      <c r="C34" s="110"/>
      <c r="D34" s="111"/>
      <c r="E34" s="110"/>
      <c r="F34" s="112"/>
      <c r="G34" s="110"/>
      <c r="H34" s="112"/>
      <c r="I34" s="110"/>
      <c r="J34" s="112"/>
      <c r="K34" s="110"/>
      <c r="L34" s="111"/>
      <c r="M34" s="111"/>
      <c r="N34" s="112"/>
      <c r="O34" s="110"/>
      <c r="P34" s="112"/>
      <c r="Q34" s="11"/>
    </row>
    <row r="35" spans="1:17" ht="22.5" customHeight="1">
      <c r="A35" s="180" t="s">
        <v>109</v>
      </c>
      <c r="B35" s="135"/>
      <c r="C35" s="181" t="s">
        <v>208</v>
      </c>
      <c r="D35" s="114"/>
      <c r="E35" s="181" t="s">
        <v>209</v>
      </c>
      <c r="F35" s="135"/>
      <c r="G35" s="181" t="s">
        <v>141</v>
      </c>
      <c r="H35" s="135"/>
      <c r="I35" s="190" t="s">
        <v>141</v>
      </c>
      <c r="J35" s="135"/>
      <c r="K35" s="181" t="s">
        <v>210</v>
      </c>
      <c r="L35" s="114"/>
      <c r="M35" s="114"/>
      <c r="N35" s="135"/>
      <c r="O35" s="168" t="s">
        <v>211</v>
      </c>
      <c r="P35" s="135"/>
      <c r="Q35" s="11"/>
    </row>
    <row r="36" spans="1:17" ht="22.5" customHeight="1">
      <c r="A36" s="110"/>
      <c r="B36" s="112"/>
      <c r="C36" s="110"/>
      <c r="D36" s="111"/>
      <c r="E36" s="110"/>
      <c r="F36" s="112"/>
      <c r="G36" s="110"/>
      <c r="H36" s="112"/>
      <c r="I36" s="110"/>
      <c r="J36" s="112"/>
      <c r="K36" s="110"/>
      <c r="L36" s="111"/>
      <c r="M36" s="111"/>
      <c r="N36" s="112"/>
      <c r="O36" s="110"/>
      <c r="P36" s="112"/>
      <c r="Q36" s="11"/>
    </row>
    <row r="37" spans="1:17" ht="22.5" customHeight="1">
      <c r="A37" s="180" t="s">
        <v>109</v>
      </c>
      <c r="B37" s="135"/>
      <c r="C37" s="181" t="s">
        <v>212</v>
      </c>
      <c r="D37" s="114"/>
      <c r="E37" s="192" t="s">
        <v>213</v>
      </c>
      <c r="F37" s="135"/>
      <c r="G37" s="181" t="s">
        <v>141</v>
      </c>
      <c r="H37" s="135"/>
      <c r="I37" s="190" t="s">
        <v>214</v>
      </c>
      <c r="J37" s="135"/>
      <c r="K37" s="181" t="s">
        <v>215</v>
      </c>
      <c r="L37" s="114"/>
      <c r="M37" s="114"/>
      <c r="N37" s="135"/>
      <c r="O37" s="168" t="s">
        <v>216</v>
      </c>
      <c r="P37" s="135"/>
      <c r="Q37" s="11"/>
    </row>
    <row r="38" spans="1:17" ht="22.5" customHeight="1">
      <c r="A38" s="110"/>
      <c r="B38" s="112"/>
      <c r="C38" s="110"/>
      <c r="D38" s="111"/>
      <c r="E38" s="110"/>
      <c r="F38" s="112"/>
      <c r="G38" s="110"/>
      <c r="H38" s="112"/>
      <c r="I38" s="110"/>
      <c r="J38" s="112"/>
      <c r="K38" s="110"/>
      <c r="L38" s="111"/>
      <c r="M38" s="111"/>
      <c r="N38" s="112"/>
      <c r="O38" s="110"/>
      <c r="P38" s="112"/>
      <c r="Q38" s="11"/>
    </row>
    <row r="39" spans="1:17" ht="22.5" customHeight="1">
      <c r="A39" s="19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3"/>
    </row>
    <row r="40" spans="1:17" ht="22.5" customHeight="1">
      <c r="A40" s="180" t="s">
        <v>108</v>
      </c>
      <c r="B40" s="135"/>
      <c r="C40" s="181" t="s">
        <v>217</v>
      </c>
      <c r="D40" s="114"/>
      <c r="E40" s="182" t="s">
        <v>218</v>
      </c>
      <c r="F40" s="135"/>
      <c r="G40" s="182" t="s">
        <v>219</v>
      </c>
      <c r="H40" s="135"/>
      <c r="I40" s="182" t="s">
        <v>141</v>
      </c>
      <c r="J40" s="135"/>
      <c r="K40" s="181" t="s">
        <v>220</v>
      </c>
      <c r="L40" s="114"/>
      <c r="M40" s="114"/>
      <c r="N40" s="135"/>
      <c r="O40" s="182" t="s">
        <v>178</v>
      </c>
      <c r="P40" s="135"/>
      <c r="Q40" s="13"/>
    </row>
    <row r="41" spans="1:17" ht="22.5" customHeight="1">
      <c r="A41" s="110"/>
      <c r="B41" s="112"/>
      <c r="C41" s="110"/>
      <c r="D41" s="111"/>
      <c r="E41" s="110"/>
      <c r="F41" s="112"/>
      <c r="G41" s="110"/>
      <c r="H41" s="112"/>
      <c r="I41" s="110"/>
      <c r="J41" s="112"/>
      <c r="K41" s="110"/>
      <c r="L41" s="111"/>
      <c r="M41" s="111"/>
      <c r="N41" s="112"/>
      <c r="O41" s="110"/>
      <c r="P41" s="112"/>
      <c r="Q41" s="13"/>
    </row>
    <row r="42" spans="1:17" ht="22.5" customHeight="1">
      <c r="A42" s="180" t="s">
        <v>108</v>
      </c>
      <c r="B42" s="135"/>
      <c r="C42" s="181" t="s">
        <v>221</v>
      </c>
      <c r="D42" s="114"/>
      <c r="E42" s="182" t="s">
        <v>222</v>
      </c>
      <c r="F42" s="135"/>
      <c r="G42" s="182" t="s">
        <v>176</v>
      </c>
      <c r="H42" s="135"/>
      <c r="I42" s="182" t="s">
        <v>141</v>
      </c>
      <c r="J42" s="135"/>
      <c r="K42" s="182" t="s">
        <v>223</v>
      </c>
      <c r="L42" s="114"/>
      <c r="M42" s="114"/>
      <c r="N42" s="135"/>
      <c r="O42" s="182" t="s">
        <v>224</v>
      </c>
      <c r="P42" s="135"/>
      <c r="Q42" s="13"/>
    </row>
    <row r="43" spans="1:17" ht="22.5" customHeight="1">
      <c r="A43" s="110"/>
      <c r="B43" s="112"/>
      <c r="C43" s="110"/>
      <c r="D43" s="111"/>
      <c r="E43" s="110"/>
      <c r="F43" s="112"/>
      <c r="G43" s="110"/>
      <c r="H43" s="112"/>
      <c r="I43" s="110"/>
      <c r="J43" s="112"/>
      <c r="K43" s="110"/>
      <c r="L43" s="111"/>
      <c r="M43" s="111"/>
      <c r="N43" s="112"/>
      <c r="O43" s="110"/>
      <c r="P43" s="112"/>
      <c r="Q43" s="13"/>
    </row>
    <row r="44" spans="1:17" ht="22.5" customHeight="1">
      <c r="A44" s="180" t="s">
        <v>108</v>
      </c>
      <c r="B44" s="135"/>
      <c r="C44" s="181" t="s">
        <v>225</v>
      </c>
      <c r="D44" s="114"/>
      <c r="E44" s="182" t="s">
        <v>226</v>
      </c>
      <c r="F44" s="135"/>
      <c r="G44" s="182" t="s">
        <v>141</v>
      </c>
      <c r="H44" s="135"/>
      <c r="I44" s="182" t="s">
        <v>227</v>
      </c>
      <c r="J44" s="135"/>
      <c r="K44" s="182" t="s">
        <v>228</v>
      </c>
      <c r="L44" s="114"/>
      <c r="M44" s="114"/>
      <c r="N44" s="135"/>
      <c r="O44" s="182" t="s">
        <v>207</v>
      </c>
      <c r="P44" s="135"/>
      <c r="Q44" s="13"/>
    </row>
    <row r="45" spans="1:17" ht="22.5" customHeight="1">
      <c r="A45" s="110"/>
      <c r="B45" s="112"/>
      <c r="C45" s="110"/>
      <c r="D45" s="111"/>
      <c r="E45" s="110"/>
      <c r="F45" s="112"/>
      <c r="G45" s="110"/>
      <c r="H45" s="112"/>
      <c r="I45" s="110"/>
      <c r="J45" s="112"/>
      <c r="K45" s="110"/>
      <c r="L45" s="111"/>
      <c r="M45" s="111"/>
      <c r="N45" s="112"/>
      <c r="O45" s="110"/>
      <c r="P45" s="112"/>
      <c r="Q45" s="13"/>
    </row>
    <row r="46" spans="1:17" ht="22.5" customHeight="1">
      <c r="A46" s="180" t="s">
        <v>108</v>
      </c>
      <c r="B46" s="135"/>
      <c r="C46" s="181" t="s">
        <v>229</v>
      </c>
      <c r="D46" s="114"/>
      <c r="E46" s="182" t="s">
        <v>230</v>
      </c>
      <c r="F46" s="135"/>
      <c r="G46" s="182" t="s">
        <v>231</v>
      </c>
      <c r="H46" s="135"/>
      <c r="I46" s="182" t="s">
        <v>141</v>
      </c>
      <c r="J46" s="135"/>
      <c r="K46" s="181" t="s">
        <v>232</v>
      </c>
      <c r="L46" s="114"/>
      <c r="M46" s="114"/>
      <c r="N46" s="135"/>
      <c r="O46" s="182" t="s">
        <v>188</v>
      </c>
      <c r="P46" s="135"/>
      <c r="Q46" s="13"/>
    </row>
    <row r="47" spans="1:17" ht="22.5" customHeight="1">
      <c r="A47" s="110"/>
      <c r="B47" s="112"/>
      <c r="C47" s="110"/>
      <c r="D47" s="111"/>
      <c r="E47" s="110"/>
      <c r="F47" s="112"/>
      <c r="G47" s="110"/>
      <c r="H47" s="112"/>
      <c r="I47" s="110"/>
      <c r="J47" s="112"/>
      <c r="K47" s="110"/>
      <c r="L47" s="111"/>
      <c r="M47" s="111"/>
      <c r="N47" s="112"/>
      <c r="O47" s="110"/>
      <c r="P47" s="112"/>
      <c r="Q47" s="13"/>
    </row>
    <row r="48" spans="1:17" ht="22.5" customHeight="1">
      <c r="A48" s="18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9"/>
      <c r="Q48" s="13"/>
    </row>
    <row r="49" spans="1:17" ht="22.5" customHeight="1">
      <c r="A49" s="180" t="s">
        <v>233</v>
      </c>
      <c r="B49" s="135"/>
      <c r="C49" s="181" t="s">
        <v>234</v>
      </c>
      <c r="D49" s="114"/>
      <c r="E49" s="182" t="s">
        <v>235</v>
      </c>
      <c r="F49" s="135"/>
      <c r="G49" s="182" t="s">
        <v>236</v>
      </c>
      <c r="H49" s="135"/>
      <c r="I49" s="182" t="s">
        <v>141</v>
      </c>
      <c r="J49" s="135"/>
      <c r="K49" s="181" t="s">
        <v>237</v>
      </c>
      <c r="L49" s="114"/>
      <c r="M49" s="114"/>
      <c r="N49" s="135"/>
      <c r="O49" s="182" t="s">
        <v>216</v>
      </c>
      <c r="P49" s="135"/>
      <c r="Q49" s="13"/>
    </row>
    <row r="50" spans="1:17" ht="22.5" customHeight="1">
      <c r="A50" s="110"/>
      <c r="B50" s="112"/>
      <c r="C50" s="110"/>
      <c r="D50" s="111"/>
      <c r="E50" s="110"/>
      <c r="F50" s="112"/>
      <c r="G50" s="110"/>
      <c r="H50" s="112"/>
      <c r="I50" s="110"/>
      <c r="J50" s="112"/>
      <c r="K50" s="110"/>
      <c r="L50" s="111"/>
      <c r="M50" s="111"/>
      <c r="N50" s="112"/>
      <c r="O50" s="110"/>
      <c r="P50" s="112"/>
      <c r="Q50" s="13"/>
    </row>
    <row r="51" spans="1:17" ht="22.5" customHeight="1">
      <c r="A51" s="180" t="s">
        <v>233</v>
      </c>
      <c r="B51" s="135"/>
      <c r="C51" s="181" t="s">
        <v>238</v>
      </c>
      <c r="D51" s="114"/>
      <c r="E51" s="182" t="s">
        <v>226</v>
      </c>
      <c r="F51" s="135"/>
      <c r="G51" s="182" t="s">
        <v>141</v>
      </c>
      <c r="H51" s="135"/>
      <c r="I51" s="182" t="s">
        <v>239</v>
      </c>
      <c r="J51" s="135"/>
      <c r="K51" s="181" t="s">
        <v>240</v>
      </c>
      <c r="L51" s="114"/>
      <c r="M51" s="114"/>
      <c r="N51" s="135"/>
      <c r="O51" s="182" t="s">
        <v>207</v>
      </c>
      <c r="P51" s="135"/>
      <c r="Q51" s="13"/>
    </row>
    <row r="52" spans="1:17" ht="22.5" customHeight="1">
      <c r="A52" s="110"/>
      <c r="B52" s="112"/>
      <c r="C52" s="110"/>
      <c r="D52" s="111"/>
      <c r="E52" s="110"/>
      <c r="F52" s="112"/>
      <c r="G52" s="110"/>
      <c r="H52" s="112"/>
      <c r="I52" s="110"/>
      <c r="J52" s="112"/>
      <c r="K52" s="110"/>
      <c r="L52" s="111"/>
      <c r="M52" s="111"/>
      <c r="N52" s="112"/>
      <c r="O52" s="110"/>
      <c r="P52" s="112"/>
      <c r="Q52" s="13"/>
    </row>
    <row r="53" spans="1:17" ht="22.5" customHeight="1">
      <c r="A53" s="180" t="s">
        <v>233</v>
      </c>
      <c r="B53" s="135"/>
      <c r="C53" s="181" t="s">
        <v>241</v>
      </c>
      <c r="D53" s="114"/>
      <c r="E53" s="182" t="s">
        <v>242</v>
      </c>
      <c r="F53" s="135"/>
      <c r="G53" s="182" t="s">
        <v>141</v>
      </c>
      <c r="H53" s="135"/>
      <c r="I53" s="182" t="s">
        <v>243</v>
      </c>
      <c r="J53" s="135"/>
      <c r="K53" s="182" t="s">
        <v>244</v>
      </c>
      <c r="L53" s="114"/>
      <c r="M53" s="114"/>
      <c r="N53" s="135"/>
      <c r="O53" s="182" t="s">
        <v>211</v>
      </c>
      <c r="P53" s="135"/>
      <c r="Q53" s="13"/>
    </row>
    <row r="54" spans="1:17" ht="22.5" customHeight="1">
      <c r="A54" s="110"/>
      <c r="B54" s="112"/>
      <c r="C54" s="110"/>
      <c r="D54" s="111"/>
      <c r="E54" s="110"/>
      <c r="F54" s="112"/>
      <c r="G54" s="110"/>
      <c r="H54" s="112"/>
      <c r="I54" s="110"/>
      <c r="J54" s="112"/>
      <c r="K54" s="110"/>
      <c r="L54" s="111"/>
      <c r="M54" s="111"/>
      <c r="N54" s="112"/>
      <c r="O54" s="110"/>
      <c r="P54" s="112"/>
      <c r="Q54" s="13"/>
    </row>
    <row r="55" spans="1:17" ht="22.5" customHeight="1">
      <c r="A55" s="18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9"/>
      <c r="Q55" s="13"/>
    </row>
    <row r="56" spans="1:17" ht="22.5" customHeight="1">
      <c r="A56" s="180" t="s">
        <v>245</v>
      </c>
      <c r="B56" s="135"/>
      <c r="C56" s="181" t="s">
        <v>246</v>
      </c>
      <c r="D56" s="114"/>
      <c r="E56" s="182" t="s">
        <v>247</v>
      </c>
      <c r="F56" s="135"/>
      <c r="G56" s="182" t="s">
        <v>141</v>
      </c>
      <c r="H56" s="135"/>
      <c r="I56" s="182" t="s">
        <v>248</v>
      </c>
      <c r="J56" s="135"/>
      <c r="K56" s="181" t="s">
        <v>249</v>
      </c>
      <c r="L56" s="114"/>
      <c r="M56" s="114"/>
      <c r="N56" s="135"/>
      <c r="O56" s="182" t="s">
        <v>207</v>
      </c>
      <c r="P56" s="135"/>
      <c r="Q56" s="13"/>
    </row>
    <row r="57" spans="1:17" ht="22.5" customHeight="1">
      <c r="A57" s="110"/>
      <c r="B57" s="112"/>
      <c r="C57" s="110"/>
      <c r="D57" s="111"/>
      <c r="E57" s="110"/>
      <c r="F57" s="112"/>
      <c r="G57" s="110"/>
      <c r="H57" s="112"/>
      <c r="I57" s="110"/>
      <c r="J57" s="112"/>
      <c r="K57" s="110"/>
      <c r="L57" s="111"/>
      <c r="M57" s="111"/>
      <c r="N57" s="112"/>
      <c r="O57" s="110"/>
      <c r="P57" s="112"/>
      <c r="Q57" s="13"/>
    </row>
    <row r="58" spans="1:17" ht="22.5" customHeight="1">
      <c r="A58" s="180" t="s">
        <v>245</v>
      </c>
      <c r="B58" s="135"/>
      <c r="C58" s="181" t="s">
        <v>250</v>
      </c>
      <c r="D58" s="114"/>
      <c r="E58" s="182" t="s">
        <v>251</v>
      </c>
      <c r="F58" s="135"/>
      <c r="G58" s="182" t="s">
        <v>141</v>
      </c>
      <c r="H58" s="135"/>
      <c r="I58" s="182" t="s">
        <v>252</v>
      </c>
      <c r="J58" s="135"/>
      <c r="K58" s="181" t="s">
        <v>253</v>
      </c>
      <c r="L58" s="114"/>
      <c r="M58" s="114"/>
      <c r="N58" s="135"/>
      <c r="O58" s="182" t="s">
        <v>216</v>
      </c>
      <c r="P58" s="135"/>
      <c r="Q58" s="13"/>
    </row>
    <row r="59" spans="1:17" ht="22.5" customHeight="1">
      <c r="A59" s="110"/>
      <c r="B59" s="112"/>
      <c r="C59" s="110"/>
      <c r="D59" s="111"/>
      <c r="E59" s="110"/>
      <c r="F59" s="112"/>
      <c r="G59" s="110"/>
      <c r="H59" s="112"/>
      <c r="I59" s="110"/>
      <c r="J59" s="112"/>
      <c r="K59" s="110"/>
      <c r="L59" s="111"/>
      <c r="M59" s="111"/>
      <c r="N59" s="112"/>
      <c r="O59" s="110"/>
      <c r="P59" s="112"/>
      <c r="Q59" s="13"/>
    </row>
    <row r="60" spans="1:17" ht="22.5" customHeight="1">
      <c r="A60" s="180" t="s">
        <v>245</v>
      </c>
      <c r="B60" s="135"/>
      <c r="C60" s="181" t="s">
        <v>254</v>
      </c>
      <c r="D60" s="114"/>
      <c r="E60" s="182" t="s">
        <v>251</v>
      </c>
      <c r="F60" s="135"/>
      <c r="G60" s="182" t="s">
        <v>141</v>
      </c>
      <c r="H60" s="135"/>
      <c r="I60" s="182" t="s">
        <v>255</v>
      </c>
      <c r="J60" s="135"/>
      <c r="K60" s="181" t="s">
        <v>256</v>
      </c>
      <c r="L60" s="114"/>
      <c r="M60" s="114"/>
      <c r="N60" s="135"/>
      <c r="O60" s="182" t="s">
        <v>207</v>
      </c>
      <c r="P60" s="135"/>
      <c r="Q60" s="13"/>
    </row>
    <row r="61" spans="1:17" ht="22.5" customHeight="1">
      <c r="A61" s="110"/>
      <c r="B61" s="112"/>
      <c r="C61" s="110"/>
      <c r="D61" s="111"/>
      <c r="E61" s="110"/>
      <c r="F61" s="112"/>
      <c r="G61" s="110"/>
      <c r="H61" s="112"/>
      <c r="I61" s="110"/>
      <c r="J61" s="112"/>
      <c r="K61" s="110"/>
      <c r="L61" s="111"/>
      <c r="M61" s="111"/>
      <c r="N61" s="112"/>
      <c r="O61" s="110"/>
      <c r="P61" s="112"/>
      <c r="Q61" s="13"/>
    </row>
    <row r="62" spans="1:17" ht="22.5" customHeight="1">
      <c r="A62" s="183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9"/>
      <c r="Q62" s="13"/>
    </row>
    <row r="63" spans="1:17" ht="22.5" customHeight="1">
      <c r="A63" s="180" t="s">
        <v>257</v>
      </c>
      <c r="B63" s="135"/>
      <c r="C63" s="181" t="s">
        <v>258</v>
      </c>
      <c r="D63" s="114"/>
      <c r="E63" s="182" t="s">
        <v>259</v>
      </c>
      <c r="F63" s="135"/>
      <c r="G63" s="182" t="s">
        <v>141</v>
      </c>
      <c r="H63" s="135"/>
      <c r="I63" s="182" t="s">
        <v>141</v>
      </c>
      <c r="J63" s="135"/>
      <c r="K63" s="181" t="s">
        <v>260</v>
      </c>
      <c r="L63" s="114"/>
      <c r="M63" s="114"/>
      <c r="N63" s="135"/>
      <c r="O63" s="182" t="s">
        <v>216</v>
      </c>
      <c r="P63" s="135"/>
      <c r="Q63" s="13"/>
    </row>
    <row r="64" spans="1:17" ht="22.5" customHeight="1">
      <c r="A64" s="110"/>
      <c r="B64" s="112"/>
      <c r="C64" s="110"/>
      <c r="D64" s="111"/>
      <c r="E64" s="110"/>
      <c r="F64" s="112"/>
      <c r="G64" s="110"/>
      <c r="H64" s="112"/>
      <c r="I64" s="110"/>
      <c r="J64" s="112"/>
      <c r="K64" s="110"/>
      <c r="L64" s="111"/>
      <c r="M64" s="111"/>
      <c r="N64" s="112"/>
      <c r="O64" s="110"/>
      <c r="P64" s="112"/>
      <c r="Q64" s="13"/>
    </row>
    <row r="65" spans="1:17" ht="22.5" customHeight="1">
      <c r="A65" s="180" t="s">
        <v>257</v>
      </c>
      <c r="B65" s="135"/>
      <c r="C65" s="181" t="s">
        <v>261</v>
      </c>
      <c r="D65" s="114"/>
      <c r="E65" s="182" t="s">
        <v>262</v>
      </c>
      <c r="F65" s="135"/>
      <c r="G65" s="182" t="s">
        <v>141</v>
      </c>
      <c r="H65" s="135"/>
      <c r="I65" s="182" t="s">
        <v>263</v>
      </c>
      <c r="J65" s="135"/>
      <c r="K65" s="181" t="s">
        <v>264</v>
      </c>
      <c r="L65" s="114"/>
      <c r="M65" s="114"/>
      <c r="N65" s="135"/>
      <c r="O65" s="182" t="s">
        <v>211</v>
      </c>
      <c r="P65" s="135"/>
      <c r="Q65" s="13"/>
    </row>
    <row r="66" spans="1:17" ht="22.5" customHeight="1">
      <c r="A66" s="110"/>
      <c r="B66" s="112"/>
      <c r="C66" s="110"/>
      <c r="D66" s="111"/>
      <c r="E66" s="110"/>
      <c r="F66" s="112"/>
      <c r="G66" s="110"/>
      <c r="H66" s="112"/>
      <c r="I66" s="110"/>
      <c r="J66" s="112"/>
      <c r="K66" s="110"/>
      <c r="L66" s="111"/>
      <c r="M66" s="111"/>
      <c r="N66" s="112"/>
      <c r="O66" s="110"/>
      <c r="P66" s="112"/>
      <c r="Q66" s="13"/>
    </row>
    <row r="67" spans="1:17" ht="22.5" customHeight="1">
      <c r="A67" s="180" t="s">
        <v>257</v>
      </c>
      <c r="B67" s="135"/>
      <c r="C67" s="181" t="s">
        <v>265</v>
      </c>
      <c r="D67" s="114"/>
      <c r="E67" s="182" t="s">
        <v>251</v>
      </c>
      <c r="F67" s="135"/>
      <c r="G67" s="182" t="s">
        <v>141</v>
      </c>
      <c r="H67" s="135"/>
      <c r="I67" s="182" t="s">
        <v>255</v>
      </c>
      <c r="J67" s="135"/>
      <c r="K67" s="181" t="s">
        <v>266</v>
      </c>
      <c r="L67" s="114"/>
      <c r="M67" s="114"/>
      <c r="N67" s="135"/>
      <c r="O67" s="182" t="s">
        <v>207</v>
      </c>
      <c r="P67" s="135"/>
      <c r="Q67" s="13"/>
    </row>
    <row r="68" spans="1:17" ht="22.5" customHeight="1">
      <c r="A68" s="110"/>
      <c r="B68" s="112"/>
      <c r="C68" s="110"/>
      <c r="D68" s="111"/>
      <c r="E68" s="110"/>
      <c r="F68" s="112"/>
      <c r="G68" s="110"/>
      <c r="H68" s="112"/>
      <c r="I68" s="110"/>
      <c r="J68" s="112"/>
      <c r="K68" s="110"/>
      <c r="L68" s="111"/>
      <c r="M68" s="111"/>
      <c r="N68" s="112"/>
      <c r="O68" s="110"/>
      <c r="P68" s="112"/>
      <c r="Q68" s="13"/>
    </row>
    <row r="69" spans="1:17" ht="22.5" customHeight="1">
      <c r="A69" s="18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9"/>
      <c r="Q69" s="13"/>
    </row>
    <row r="70" spans="1:17" ht="22.5" customHeight="1">
      <c r="A70" s="9"/>
      <c r="B70" s="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22.5" customHeight="1">
      <c r="A71" s="9"/>
      <c r="B71" s="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22.5" customHeight="1">
      <c r="A72" s="9"/>
      <c r="B72" s="137" t="s">
        <v>267</v>
      </c>
      <c r="C72" s="114"/>
      <c r="D72" s="114"/>
      <c r="E72" s="114"/>
      <c r="F72" s="114"/>
      <c r="G72" s="114"/>
      <c r="H72" s="38"/>
      <c r="I72" s="38"/>
      <c r="J72" s="11"/>
      <c r="K72" s="11"/>
      <c r="L72" s="11"/>
      <c r="M72" s="11"/>
      <c r="N72" s="11"/>
      <c r="O72" s="11"/>
      <c r="P72" s="11"/>
      <c r="Q72" s="11"/>
    </row>
    <row r="73" spans="1:17" ht="22.5" customHeight="1" collapsed="1">
      <c r="A73" s="9"/>
      <c r="B73" s="138" t="s">
        <v>155</v>
      </c>
      <c r="C73" s="114"/>
      <c r="D73" s="114"/>
      <c r="E73" s="114"/>
      <c r="F73" s="114"/>
      <c r="G73" s="114"/>
      <c r="H73" s="38"/>
      <c r="I73" s="38"/>
      <c r="J73" s="11"/>
      <c r="K73" s="11"/>
      <c r="L73" s="11"/>
      <c r="M73" s="11"/>
      <c r="N73" s="11"/>
      <c r="O73" s="11"/>
      <c r="P73" s="11"/>
      <c r="Q73" s="11"/>
    </row>
    <row r="74" spans="1:17" ht="22.5" hidden="1" customHeight="1" outlineLevel="1">
      <c r="A74" s="9"/>
      <c r="B74" s="97"/>
      <c r="C74" s="38"/>
      <c r="D74" s="38"/>
      <c r="E74" s="38"/>
      <c r="F74" s="38"/>
      <c r="G74" s="38"/>
      <c r="H74" s="38"/>
      <c r="I74" s="38"/>
      <c r="J74" s="11"/>
      <c r="K74" s="11"/>
      <c r="L74" s="11"/>
      <c r="M74" s="11"/>
      <c r="N74" s="11"/>
      <c r="O74" s="11"/>
      <c r="P74" s="11"/>
      <c r="Q74" s="11"/>
    </row>
    <row r="75" spans="1:17" ht="22.5" hidden="1" customHeight="1" outlineLevel="1">
      <c r="A75" s="9"/>
      <c r="B75" s="184" t="s">
        <v>268</v>
      </c>
      <c r="C75" s="114"/>
      <c r="D75" s="114"/>
      <c r="E75" s="114"/>
      <c r="F75" s="114"/>
      <c r="G75" s="114"/>
      <c r="H75" s="114"/>
      <c r="I75" s="114"/>
      <c r="J75" s="11"/>
      <c r="K75" s="11"/>
      <c r="L75" s="11"/>
      <c r="M75" s="11"/>
      <c r="N75" s="11"/>
      <c r="O75" s="11"/>
      <c r="P75" s="11"/>
      <c r="Q75" s="11"/>
    </row>
    <row r="76" spans="1:17" ht="22.5" hidden="1" customHeight="1" outlineLevel="1">
      <c r="A76" s="9"/>
      <c r="B76" s="185"/>
      <c r="C76" s="114"/>
      <c r="D76" s="114"/>
      <c r="E76" s="114"/>
      <c r="F76" s="114"/>
      <c r="G76" s="114"/>
      <c r="H76" s="114"/>
      <c r="I76" s="114"/>
      <c r="J76" s="11"/>
      <c r="K76" s="11"/>
      <c r="L76" s="11"/>
      <c r="M76" s="11"/>
      <c r="N76" s="11"/>
      <c r="O76" s="11"/>
      <c r="P76" s="11"/>
      <c r="Q76" s="11"/>
    </row>
    <row r="77" spans="1:17" ht="22.5" hidden="1" customHeight="1" outlineLevel="1">
      <c r="A77" s="9"/>
      <c r="B77" s="98"/>
      <c r="C77" s="99"/>
      <c r="D77" s="99"/>
      <c r="E77" s="99"/>
      <c r="F77" s="99"/>
      <c r="G77" s="99"/>
      <c r="H77" s="99"/>
      <c r="I77" s="99"/>
      <c r="J77" s="11"/>
      <c r="K77" s="11"/>
      <c r="L77" s="11"/>
      <c r="M77" s="11"/>
      <c r="N77" s="11"/>
      <c r="O77" s="11"/>
      <c r="P77" s="11"/>
      <c r="Q77" s="11"/>
    </row>
    <row r="78" spans="1:17" ht="22.5" customHeight="1">
      <c r="A78" s="9"/>
      <c r="B78" s="97"/>
      <c r="C78" s="38"/>
      <c r="D78" s="38"/>
      <c r="E78" s="38"/>
      <c r="F78" s="38"/>
      <c r="G78" s="38"/>
      <c r="H78" s="38"/>
      <c r="I78" s="38"/>
      <c r="J78" s="11"/>
      <c r="K78" s="11"/>
      <c r="L78" s="11"/>
      <c r="M78" s="11"/>
      <c r="N78" s="11"/>
      <c r="O78" s="11"/>
      <c r="P78" s="11"/>
      <c r="Q78" s="11"/>
    </row>
    <row r="79" spans="1:17" ht="22.5" customHeight="1">
      <c r="A79" s="9"/>
      <c r="B79" s="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</sheetData>
  <mergeCells count="195">
    <mergeCell ref="K51:N52"/>
    <mergeCell ref="O51:P52"/>
    <mergeCell ref="K49:N50"/>
    <mergeCell ref="O49:P50"/>
    <mergeCell ref="A51:B52"/>
    <mergeCell ref="C51:D52"/>
    <mergeCell ref="E51:F52"/>
    <mergeCell ref="G51:H52"/>
    <mergeCell ref="I51:J52"/>
    <mergeCell ref="C42:D43"/>
    <mergeCell ref="E42:F43"/>
    <mergeCell ref="G42:H43"/>
    <mergeCell ref="I42:J43"/>
    <mergeCell ref="K42:N43"/>
    <mergeCell ref="O42:P43"/>
    <mergeCell ref="A42:B43"/>
    <mergeCell ref="C44:D45"/>
    <mergeCell ref="E44:F45"/>
    <mergeCell ref="G44:H45"/>
    <mergeCell ref="I44:J45"/>
    <mergeCell ref="K44:N45"/>
    <mergeCell ref="O44:P45"/>
    <mergeCell ref="C37:D38"/>
    <mergeCell ref="E37:F38"/>
    <mergeCell ref="G37:H38"/>
    <mergeCell ref="I37:J38"/>
    <mergeCell ref="K37:N38"/>
    <mergeCell ref="O37:P38"/>
    <mergeCell ref="A39:P39"/>
    <mergeCell ref="A37:B38"/>
    <mergeCell ref="C40:D41"/>
    <mergeCell ref="E40:F41"/>
    <mergeCell ref="G40:H41"/>
    <mergeCell ref="I40:J41"/>
    <mergeCell ref="K40:N41"/>
    <mergeCell ref="O40:P41"/>
    <mergeCell ref="A40:B41"/>
    <mergeCell ref="A32:P32"/>
    <mergeCell ref="A33:B34"/>
    <mergeCell ref="C33:D34"/>
    <mergeCell ref="E33:F34"/>
    <mergeCell ref="G33:H34"/>
    <mergeCell ref="I33:J34"/>
    <mergeCell ref="K35:N36"/>
    <mergeCell ref="O35:P36"/>
    <mergeCell ref="K33:N34"/>
    <mergeCell ref="O33:P34"/>
    <mergeCell ref="A35:B36"/>
    <mergeCell ref="C35:D36"/>
    <mergeCell ref="E35:F36"/>
    <mergeCell ref="G35:H36"/>
    <mergeCell ref="I35:J36"/>
    <mergeCell ref="C28:D29"/>
    <mergeCell ref="E28:F29"/>
    <mergeCell ref="G28:H29"/>
    <mergeCell ref="I28:J29"/>
    <mergeCell ref="K28:N29"/>
    <mergeCell ref="O28:P29"/>
    <mergeCell ref="A28:B29"/>
    <mergeCell ref="A30:B31"/>
    <mergeCell ref="C30:D31"/>
    <mergeCell ref="E30:F31"/>
    <mergeCell ref="G30:H31"/>
    <mergeCell ref="I30:J31"/>
    <mergeCell ref="O30:P31"/>
    <mergeCell ref="K30:N31"/>
    <mergeCell ref="I23:J24"/>
    <mergeCell ref="K23:N24"/>
    <mergeCell ref="O23:P24"/>
    <mergeCell ref="A25:P25"/>
    <mergeCell ref="A23:B24"/>
    <mergeCell ref="C26:D27"/>
    <mergeCell ref="E26:F27"/>
    <mergeCell ref="G26:H27"/>
    <mergeCell ref="I26:J27"/>
    <mergeCell ref="K26:N27"/>
    <mergeCell ref="O26:P27"/>
    <mergeCell ref="A26:B27"/>
    <mergeCell ref="A19:B20"/>
    <mergeCell ref="C19:D20"/>
    <mergeCell ref="E19:F20"/>
    <mergeCell ref="G19:H20"/>
    <mergeCell ref="I19:J20"/>
    <mergeCell ref="K19:N20"/>
    <mergeCell ref="O19:P20"/>
    <mergeCell ref="A56:B57"/>
    <mergeCell ref="C58:D59"/>
    <mergeCell ref="E58:F59"/>
    <mergeCell ref="G58:H59"/>
    <mergeCell ref="I58:J59"/>
    <mergeCell ref="K58:N59"/>
    <mergeCell ref="O58:P59"/>
    <mergeCell ref="A21:B22"/>
    <mergeCell ref="C21:D22"/>
    <mergeCell ref="E21:F22"/>
    <mergeCell ref="G21:H22"/>
    <mergeCell ref="I21:J22"/>
    <mergeCell ref="K21:N22"/>
    <mergeCell ref="O21:P22"/>
    <mergeCell ref="C23:D24"/>
    <mergeCell ref="E23:F24"/>
    <mergeCell ref="G23:H24"/>
    <mergeCell ref="A15:B16"/>
    <mergeCell ref="C15:D16"/>
    <mergeCell ref="E15:F16"/>
    <mergeCell ref="G15:H16"/>
    <mergeCell ref="I15:J16"/>
    <mergeCell ref="K15:N16"/>
    <mergeCell ref="O15:P16"/>
    <mergeCell ref="A17:B18"/>
    <mergeCell ref="C17:D18"/>
    <mergeCell ref="E17:F18"/>
    <mergeCell ref="G17:H18"/>
    <mergeCell ref="I17:J18"/>
    <mergeCell ref="K17:N18"/>
    <mergeCell ref="O17:P18"/>
    <mergeCell ref="M7:N8"/>
    <mergeCell ref="K13:N14"/>
    <mergeCell ref="O13:P14"/>
    <mergeCell ref="E3:N6"/>
    <mergeCell ref="E7:E8"/>
    <mergeCell ref="F7:G8"/>
    <mergeCell ref="I7:I8"/>
    <mergeCell ref="J7:J8"/>
    <mergeCell ref="L7:L8"/>
    <mergeCell ref="A12:P12"/>
    <mergeCell ref="A3:C8"/>
    <mergeCell ref="A11:C11"/>
    <mergeCell ref="A13:B14"/>
    <mergeCell ref="C13:D14"/>
    <mergeCell ref="E13:F14"/>
    <mergeCell ref="G13:H14"/>
    <mergeCell ref="I13:J14"/>
    <mergeCell ref="B73:G73"/>
    <mergeCell ref="B75:I76"/>
    <mergeCell ref="A67:B68"/>
    <mergeCell ref="C67:D68"/>
    <mergeCell ref="G67:H68"/>
    <mergeCell ref="I67:J68"/>
    <mergeCell ref="K67:N68"/>
    <mergeCell ref="O67:P68"/>
    <mergeCell ref="A69:P69"/>
    <mergeCell ref="A65:B66"/>
    <mergeCell ref="C65:D66"/>
    <mergeCell ref="E65:F66"/>
    <mergeCell ref="G65:H66"/>
    <mergeCell ref="I65:J66"/>
    <mergeCell ref="K65:N66"/>
    <mergeCell ref="O65:P66"/>
    <mergeCell ref="E67:F68"/>
    <mergeCell ref="B72:G72"/>
    <mergeCell ref="A58:B59"/>
    <mergeCell ref="A60:B61"/>
    <mergeCell ref="C60:D61"/>
    <mergeCell ref="E60:F61"/>
    <mergeCell ref="G60:H61"/>
    <mergeCell ref="I60:J61"/>
    <mergeCell ref="O60:P61"/>
    <mergeCell ref="K63:N64"/>
    <mergeCell ref="O63:P64"/>
    <mergeCell ref="K60:N61"/>
    <mergeCell ref="A62:P62"/>
    <mergeCell ref="A63:B64"/>
    <mergeCell ref="C63:D64"/>
    <mergeCell ref="E63:F64"/>
    <mergeCell ref="G63:H64"/>
    <mergeCell ref="I63:J64"/>
    <mergeCell ref="K53:N54"/>
    <mergeCell ref="O53:P54"/>
    <mergeCell ref="A55:P55"/>
    <mergeCell ref="A53:B54"/>
    <mergeCell ref="C56:D57"/>
    <mergeCell ref="E56:F57"/>
    <mergeCell ref="G56:H57"/>
    <mergeCell ref="I56:J57"/>
    <mergeCell ref="K56:N57"/>
    <mergeCell ref="O56:P57"/>
    <mergeCell ref="A49:B50"/>
    <mergeCell ref="C49:D50"/>
    <mergeCell ref="E49:F50"/>
    <mergeCell ref="G49:H50"/>
    <mergeCell ref="I49:J50"/>
    <mergeCell ref="C53:D54"/>
    <mergeCell ref="E53:F54"/>
    <mergeCell ref="G53:H54"/>
    <mergeCell ref="I53:J54"/>
    <mergeCell ref="A44:B45"/>
    <mergeCell ref="A46:B47"/>
    <mergeCell ref="C46:D47"/>
    <mergeCell ref="E46:F47"/>
    <mergeCell ref="G46:H47"/>
    <mergeCell ref="I46:J47"/>
    <mergeCell ref="O46:P47"/>
    <mergeCell ref="K46:N47"/>
    <mergeCell ref="A48:P48"/>
  </mergeCells>
  <dataValidations count="1">
    <dataValidation type="list" allowBlank="1" showErrorMessage="1" sqref="M7 O7:P8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73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13"/>
      <c r="B3" s="114"/>
      <c r="C3" s="114"/>
      <c r="D3" s="6"/>
      <c r="E3" s="115" t="s">
        <v>269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7"/>
    </row>
    <row r="4" spans="1:16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9"/>
    </row>
    <row r="5" spans="1:16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9"/>
    </row>
    <row r="6" spans="1:16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2"/>
    </row>
    <row r="7" spans="1:16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"/>
      <c r="P7" s="1"/>
    </row>
    <row r="8" spans="1:16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147" t="s">
        <v>270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</row>
    <row r="13" spans="1:16" ht="22.5" customHeight="1">
      <c r="A13" s="194" t="s">
        <v>271</v>
      </c>
      <c r="B13" s="195" t="s">
        <v>272</v>
      </c>
      <c r="C13" s="114"/>
      <c r="D13" s="119"/>
      <c r="E13" s="195" t="s">
        <v>273</v>
      </c>
      <c r="F13" s="114"/>
      <c r="G13" s="119"/>
      <c r="H13" s="195" t="s">
        <v>274</v>
      </c>
      <c r="I13" s="114"/>
      <c r="J13" s="119"/>
      <c r="K13" s="195" t="s">
        <v>275</v>
      </c>
      <c r="L13" s="114"/>
      <c r="M13" s="119"/>
      <c r="N13" s="195" t="s">
        <v>276</v>
      </c>
      <c r="O13" s="114"/>
      <c r="P13" s="114"/>
    </row>
    <row r="14" spans="1:16" ht="22.5" customHeight="1">
      <c r="A14" s="119"/>
      <c r="B14" s="118"/>
      <c r="C14" s="114"/>
      <c r="D14" s="119"/>
      <c r="E14" s="118"/>
      <c r="F14" s="114"/>
      <c r="G14" s="119"/>
      <c r="H14" s="118"/>
      <c r="I14" s="114"/>
      <c r="J14" s="119"/>
      <c r="K14" s="118"/>
      <c r="L14" s="114"/>
      <c r="M14" s="119"/>
      <c r="N14" s="118"/>
      <c r="O14" s="114"/>
      <c r="P14" s="114"/>
    </row>
    <row r="15" spans="1:16" ht="22.5" customHeight="1">
      <c r="A15" s="196" t="s">
        <v>277</v>
      </c>
      <c r="B15" s="180" t="s">
        <v>278</v>
      </c>
      <c r="C15" s="114"/>
      <c r="D15" s="135"/>
      <c r="E15" s="197" t="s">
        <v>279</v>
      </c>
      <c r="F15" s="114"/>
      <c r="G15" s="135"/>
      <c r="H15" s="182" t="s">
        <v>280</v>
      </c>
      <c r="I15" s="114"/>
      <c r="J15" s="135"/>
      <c r="K15" s="182" t="s">
        <v>281</v>
      </c>
      <c r="L15" s="114"/>
      <c r="M15" s="135"/>
      <c r="N15" s="182" t="s">
        <v>282</v>
      </c>
      <c r="O15" s="114"/>
      <c r="P15" s="135"/>
    </row>
    <row r="16" spans="1:16" ht="22.5" customHeight="1">
      <c r="A16" s="114"/>
      <c r="B16" s="110"/>
      <c r="C16" s="111"/>
      <c r="D16" s="112"/>
      <c r="E16" s="111"/>
      <c r="F16" s="111"/>
      <c r="G16" s="112"/>
      <c r="H16" s="110"/>
      <c r="I16" s="111"/>
      <c r="J16" s="112"/>
      <c r="K16" s="110"/>
      <c r="L16" s="111"/>
      <c r="M16" s="112"/>
      <c r="N16" s="110"/>
      <c r="O16" s="111"/>
      <c r="P16" s="112"/>
    </row>
    <row r="17" spans="1:16" ht="22.5" customHeight="1">
      <c r="A17" s="114"/>
      <c r="B17" s="180" t="s">
        <v>283</v>
      </c>
      <c r="C17" s="114"/>
      <c r="D17" s="135"/>
      <c r="E17" s="197" t="s">
        <v>284</v>
      </c>
      <c r="F17" s="114"/>
      <c r="G17" s="135"/>
      <c r="H17" s="182" t="s">
        <v>285</v>
      </c>
      <c r="I17" s="114"/>
      <c r="J17" s="135"/>
      <c r="K17" s="182" t="s">
        <v>286</v>
      </c>
      <c r="L17" s="114"/>
      <c r="M17" s="135"/>
      <c r="N17" s="182" t="s">
        <v>287</v>
      </c>
      <c r="O17" s="114"/>
      <c r="P17" s="135"/>
    </row>
    <row r="18" spans="1:16" ht="22.5" customHeight="1">
      <c r="A18" s="114"/>
      <c r="B18" s="110"/>
      <c r="C18" s="111"/>
      <c r="D18" s="112"/>
      <c r="E18" s="111"/>
      <c r="F18" s="111"/>
      <c r="G18" s="112"/>
      <c r="H18" s="110"/>
      <c r="I18" s="111"/>
      <c r="J18" s="112"/>
      <c r="K18" s="110"/>
      <c r="L18" s="111"/>
      <c r="M18" s="112"/>
      <c r="N18" s="110"/>
      <c r="O18" s="111"/>
      <c r="P18" s="112"/>
    </row>
    <row r="19" spans="1:16" ht="22.5" customHeight="1">
      <c r="A19" s="114"/>
      <c r="B19" s="180" t="s">
        <v>288</v>
      </c>
      <c r="C19" s="114"/>
      <c r="D19" s="135"/>
      <c r="E19" s="197" t="s">
        <v>289</v>
      </c>
      <c r="F19" s="114"/>
      <c r="G19" s="135"/>
      <c r="H19" s="182" t="s">
        <v>290</v>
      </c>
      <c r="I19" s="114"/>
      <c r="J19" s="135"/>
      <c r="K19" s="182" t="s">
        <v>288</v>
      </c>
      <c r="L19" s="114"/>
      <c r="M19" s="135"/>
      <c r="N19" s="182" t="s">
        <v>291</v>
      </c>
      <c r="O19" s="114"/>
      <c r="P19" s="135"/>
    </row>
    <row r="20" spans="1:16" ht="22.5" customHeight="1">
      <c r="A20" s="114"/>
      <c r="B20" s="110"/>
      <c r="C20" s="111"/>
      <c r="D20" s="112"/>
      <c r="E20" s="111"/>
      <c r="F20" s="111"/>
      <c r="G20" s="112"/>
      <c r="H20" s="110"/>
      <c r="I20" s="111"/>
      <c r="J20" s="112"/>
      <c r="K20" s="110"/>
      <c r="L20" s="111"/>
      <c r="M20" s="112"/>
      <c r="N20" s="110"/>
      <c r="O20" s="111"/>
      <c r="P20" s="112"/>
    </row>
    <row r="21" spans="1:16" ht="22.5" customHeight="1">
      <c r="A21" s="114"/>
      <c r="B21" s="180" t="s">
        <v>292</v>
      </c>
      <c r="C21" s="114"/>
      <c r="D21" s="135"/>
      <c r="E21" s="197" t="s">
        <v>293</v>
      </c>
      <c r="F21" s="114"/>
      <c r="G21" s="135"/>
      <c r="H21" s="182" t="s">
        <v>294</v>
      </c>
      <c r="I21" s="114"/>
      <c r="J21" s="135"/>
      <c r="K21" s="182" t="s">
        <v>295</v>
      </c>
      <c r="L21" s="114"/>
      <c r="M21" s="135"/>
      <c r="N21" s="182" t="s">
        <v>296</v>
      </c>
      <c r="O21" s="114"/>
      <c r="P21" s="135"/>
    </row>
    <row r="22" spans="1:16" ht="22.5" customHeight="1">
      <c r="A22" s="114"/>
      <c r="B22" s="110"/>
      <c r="C22" s="111"/>
      <c r="D22" s="112"/>
      <c r="E22" s="111"/>
      <c r="F22" s="111"/>
      <c r="G22" s="112"/>
      <c r="H22" s="110"/>
      <c r="I22" s="111"/>
      <c r="J22" s="112"/>
      <c r="K22" s="110"/>
      <c r="L22" s="111"/>
      <c r="M22" s="112"/>
      <c r="N22" s="110"/>
      <c r="O22" s="111"/>
      <c r="P22" s="112"/>
    </row>
    <row r="23" spans="1:16" ht="22.5" customHeight="1">
      <c r="A23" s="114"/>
      <c r="B23" s="180" t="s">
        <v>297</v>
      </c>
      <c r="C23" s="114"/>
      <c r="D23" s="135"/>
      <c r="E23" s="197" t="s">
        <v>298</v>
      </c>
      <c r="F23" s="114"/>
      <c r="G23" s="135"/>
      <c r="H23" s="182" t="s">
        <v>299</v>
      </c>
      <c r="I23" s="114"/>
      <c r="J23" s="135"/>
      <c r="K23" s="182" t="s">
        <v>300</v>
      </c>
      <c r="L23" s="114"/>
      <c r="M23" s="135"/>
      <c r="N23" s="182" t="s">
        <v>301</v>
      </c>
      <c r="O23" s="114"/>
      <c r="P23" s="135"/>
    </row>
    <row r="24" spans="1:16" ht="22.5" customHeight="1">
      <c r="A24" s="114"/>
      <c r="B24" s="110"/>
      <c r="C24" s="111"/>
      <c r="D24" s="112"/>
      <c r="E24" s="111"/>
      <c r="F24" s="111"/>
      <c r="G24" s="112"/>
      <c r="H24" s="110"/>
      <c r="I24" s="111"/>
      <c r="J24" s="112"/>
      <c r="K24" s="110"/>
      <c r="L24" s="111"/>
      <c r="M24" s="112"/>
      <c r="N24" s="110"/>
      <c r="O24" s="111"/>
      <c r="P24" s="112"/>
    </row>
    <row r="25" spans="1:16" ht="22.5" customHeight="1">
      <c r="A25" s="114"/>
      <c r="B25" s="180" t="s">
        <v>302</v>
      </c>
      <c r="C25" s="114"/>
      <c r="D25" s="135"/>
      <c r="E25" s="197" t="s">
        <v>303</v>
      </c>
      <c r="F25" s="114"/>
      <c r="G25" s="135"/>
      <c r="H25" s="182" t="s">
        <v>304</v>
      </c>
      <c r="I25" s="114"/>
      <c r="J25" s="135"/>
      <c r="K25" s="182" t="s">
        <v>305</v>
      </c>
      <c r="L25" s="114"/>
      <c r="M25" s="135"/>
      <c r="N25" s="182" t="s">
        <v>306</v>
      </c>
      <c r="O25" s="114"/>
      <c r="P25" s="135"/>
    </row>
    <row r="26" spans="1:16" ht="22.5" customHeight="1">
      <c r="A26" s="111"/>
      <c r="B26" s="110"/>
      <c r="C26" s="111"/>
      <c r="D26" s="112"/>
      <c r="E26" s="111"/>
      <c r="F26" s="111"/>
      <c r="G26" s="112"/>
      <c r="H26" s="110"/>
      <c r="I26" s="111"/>
      <c r="J26" s="112"/>
      <c r="K26" s="110"/>
      <c r="L26" s="111"/>
      <c r="M26" s="112"/>
      <c r="N26" s="110"/>
      <c r="O26" s="111"/>
      <c r="P26" s="112"/>
    </row>
    <row r="27" spans="1:16" ht="12.75" customHeight="1">
      <c r="A27" s="198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</row>
    <row r="28" spans="1:16" ht="22.5" customHeight="1">
      <c r="A28" s="194" t="s">
        <v>271</v>
      </c>
      <c r="B28" s="195" t="s">
        <v>272</v>
      </c>
      <c r="C28" s="114"/>
      <c r="D28" s="119"/>
      <c r="E28" s="195" t="s">
        <v>273</v>
      </c>
      <c r="F28" s="114"/>
      <c r="G28" s="119"/>
      <c r="H28" s="195" t="s">
        <v>274</v>
      </c>
      <c r="I28" s="114"/>
      <c r="J28" s="119"/>
      <c r="K28" s="195" t="s">
        <v>275</v>
      </c>
      <c r="L28" s="114"/>
      <c r="M28" s="119"/>
      <c r="N28" s="195" t="s">
        <v>276</v>
      </c>
      <c r="O28" s="114"/>
      <c r="P28" s="114"/>
    </row>
    <row r="29" spans="1:16" ht="22.5" customHeight="1">
      <c r="A29" s="119"/>
      <c r="B29" s="118"/>
      <c r="C29" s="114"/>
      <c r="D29" s="119"/>
      <c r="E29" s="118"/>
      <c r="F29" s="114"/>
      <c r="G29" s="119"/>
      <c r="H29" s="118"/>
      <c r="I29" s="114"/>
      <c r="J29" s="119"/>
      <c r="K29" s="118"/>
      <c r="L29" s="114"/>
      <c r="M29" s="119"/>
      <c r="N29" s="118"/>
      <c r="O29" s="114"/>
      <c r="P29" s="114"/>
    </row>
    <row r="30" spans="1:16" ht="22.5" customHeight="1">
      <c r="A30" s="196" t="s">
        <v>307</v>
      </c>
      <c r="B30" s="180" t="s">
        <v>308</v>
      </c>
      <c r="C30" s="114"/>
      <c r="D30" s="135"/>
      <c r="E30" s="197" t="s">
        <v>309</v>
      </c>
      <c r="F30" s="114"/>
      <c r="G30" s="135"/>
      <c r="H30" s="182" t="s">
        <v>310</v>
      </c>
      <c r="I30" s="114"/>
      <c r="J30" s="135"/>
      <c r="K30" s="182" t="s">
        <v>311</v>
      </c>
      <c r="L30" s="114"/>
      <c r="M30" s="135"/>
      <c r="N30" s="182" t="s">
        <v>312</v>
      </c>
      <c r="O30" s="114"/>
      <c r="P30" s="135"/>
    </row>
    <row r="31" spans="1:16" ht="22.5" customHeight="1">
      <c r="A31" s="114"/>
      <c r="B31" s="110"/>
      <c r="C31" s="111"/>
      <c r="D31" s="112"/>
      <c r="E31" s="111"/>
      <c r="F31" s="111"/>
      <c r="G31" s="112"/>
      <c r="H31" s="110"/>
      <c r="I31" s="111"/>
      <c r="J31" s="112"/>
      <c r="K31" s="110"/>
      <c r="L31" s="111"/>
      <c r="M31" s="112"/>
      <c r="N31" s="110"/>
      <c r="O31" s="111"/>
      <c r="P31" s="112"/>
    </row>
    <row r="32" spans="1:16" ht="22.5" customHeight="1">
      <c r="A32" s="114"/>
      <c r="B32" s="180" t="s">
        <v>313</v>
      </c>
      <c r="C32" s="114"/>
      <c r="D32" s="135"/>
      <c r="E32" s="197" t="s">
        <v>314</v>
      </c>
      <c r="F32" s="114"/>
      <c r="G32" s="135"/>
      <c r="H32" s="182" t="s">
        <v>315</v>
      </c>
      <c r="I32" s="114"/>
      <c r="J32" s="135"/>
      <c r="K32" s="182" t="s">
        <v>316</v>
      </c>
      <c r="L32" s="114"/>
      <c r="M32" s="135"/>
      <c r="N32" s="182" t="s">
        <v>317</v>
      </c>
      <c r="O32" s="114"/>
      <c r="P32" s="135"/>
    </row>
    <row r="33" spans="1:16" ht="22.5" customHeight="1">
      <c r="A33" s="114"/>
      <c r="B33" s="110"/>
      <c r="C33" s="111"/>
      <c r="D33" s="112"/>
      <c r="E33" s="111"/>
      <c r="F33" s="111"/>
      <c r="G33" s="112"/>
      <c r="H33" s="110"/>
      <c r="I33" s="111"/>
      <c r="J33" s="112"/>
      <c r="K33" s="110"/>
      <c r="L33" s="111"/>
      <c r="M33" s="112"/>
      <c r="N33" s="110"/>
      <c r="O33" s="111"/>
      <c r="P33" s="112"/>
    </row>
    <row r="34" spans="1:16" ht="22.5" customHeight="1">
      <c r="A34" s="114"/>
      <c r="B34" s="180" t="s">
        <v>318</v>
      </c>
      <c r="C34" s="114"/>
      <c r="D34" s="135"/>
      <c r="E34" s="197" t="s">
        <v>319</v>
      </c>
      <c r="F34" s="114"/>
      <c r="G34" s="135"/>
      <c r="H34" s="182" t="s">
        <v>320</v>
      </c>
      <c r="I34" s="114"/>
      <c r="J34" s="135"/>
      <c r="K34" s="182" t="s">
        <v>321</v>
      </c>
      <c r="L34" s="114"/>
      <c r="M34" s="135"/>
      <c r="N34" s="182" t="s">
        <v>322</v>
      </c>
      <c r="O34" s="114"/>
      <c r="P34" s="135"/>
    </row>
    <row r="35" spans="1:16" ht="22.5" customHeight="1">
      <c r="A35" s="114"/>
      <c r="B35" s="110"/>
      <c r="C35" s="111"/>
      <c r="D35" s="112"/>
      <c r="E35" s="111"/>
      <c r="F35" s="111"/>
      <c r="G35" s="112"/>
      <c r="H35" s="110"/>
      <c r="I35" s="111"/>
      <c r="J35" s="112"/>
      <c r="K35" s="110"/>
      <c r="L35" s="111"/>
      <c r="M35" s="112"/>
      <c r="N35" s="110"/>
      <c r="O35" s="111"/>
      <c r="P35" s="112"/>
    </row>
    <row r="36" spans="1:16" ht="22.5" customHeight="1">
      <c r="A36" s="114"/>
      <c r="B36" s="180" t="s">
        <v>323</v>
      </c>
      <c r="C36" s="114"/>
      <c r="D36" s="135"/>
      <c r="E36" s="197" t="s">
        <v>324</v>
      </c>
      <c r="F36" s="114"/>
      <c r="G36" s="135"/>
      <c r="H36" s="182" t="s">
        <v>325</v>
      </c>
      <c r="I36" s="114"/>
      <c r="J36" s="135"/>
      <c r="K36" s="182" t="s">
        <v>326</v>
      </c>
      <c r="L36" s="114"/>
      <c r="M36" s="135"/>
      <c r="N36" s="182" t="s">
        <v>327</v>
      </c>
      <c r="O36" s="114"/>
      <c r="P36" s="135"/>
    </row>
    <row r="37" spans="1:16" ht="22.5" customHeight="1">
      <c r="A37" s="114"/>
      <c r="B37" s="110"/>
      <c r="C37" s="111"/>
      <c r="D37" s="112"/>
      <c r="E37" s="111"/>
      <c r="F37" s="111"/>
      <c r="G37" s="112"/>
      <c r="H37" s="110"/>
      <c r="I37" s="111"/>
      <c r="J37" s="112"/>
      <c r="K37" s="110"/>
      <c r="L37" s="111"/>
      <c r="M37" s="112"/>
      <c r="N37" s="110"/>
      <c r="O37" s="111"/>
      <c r="P37" s="112"/>
    </row>
    <row r="38" spans="1:16" ht="22.5" customHeight="1">
      <c r="A38" s="114"/>
      <c r="B38" s="180" t="s">
        <v>328</v>
      </c>
      <c r="C38" s="114"/>
      <c r="D38" s="135"/>
      <c r="E38" s="197" t="s">
        <v>329</v>
      </c>
      <c r="F38" s="114"/>
      <c r="G38" s="135"/>
      <c r="H38" s="182" t="s">
        <v>330</v>
      </c>
      <c r="I38" s="114"/>
      <c r="J38" s="135"/>
      <c r="K38" s="182" t="s">
        <v>331</v>
      </c>
      <c r="L38" s="114"/>
      <c r="M38" s="135"/>
      <c r="N38" s="182" t="s">
        <v>332</v>
      </c>
      <c r="O38" s="114"/>
      <c r="P38" s="135"/>
    </row>
    <row r="39" spans="1:16" ht="22.5" customHeight="1">
      <c r="A39" s="114"/>
      <c r="B39" s="110"/>
      <c r="C39" s="111"/>
      <c r="D39" s="112"/>
      <c r="E39" s="111"/>
      <c r="F39" s="111"/>
      <c r="G39" s="112"/>
      <c r="H39" s="110"/>
      <c r="I39" s="111"/>
      <c r="J39" s="112"/>
      <c r="K39" s="110"/>
      <c r="L39" s="111"/>
      <c r="M39" s="112"/>
      <c r="N39" s="110"/>
      <c r="O39" s="111"/>
      <c r="P39" s="112"/>
    </row>
    <row r="40" spans="1:16" ht="22.5" customHeight="1">
      <c r="A40" s="114"/>
      <c r="B40" s="180" t="s">
        <v>333</v>
      </c>
      <c r="C40" s="114"/>
      <c r="D40" s="135"/>
      <c r="E40" s="197" t="s">
        <v>334</v>
      </c>
      <c r="F40" s="114"/>
      <c r="G40" s="135"/>
      <c r="H40" s="182" t="s">
        <v>335</v>
      </c>
      <c r="I40" s="114"/>
      <c r="J40" s="135"/>
      <c r="K40" s="182" t="s">
        <v>336</v>
      </c>
      <c r="L40" s="114"/>
      <c r="M40" s="135"/>
      <c r="N40" s="182" t="s">
        <v>337</v>
      </c>
      <c r="O40" s="114"/>
      <c r="P40" s="135"/>
    </row>
    <row r="41" spans="1:16" ht="22.5" customHeight="1">
      <c r="A41" s="114"/>
      <c r="B41" s="110"/>
      <c r="C41" s="111"/>
      <c r="D41" s="112"/>
      <c r="E41" s="111"/>
      <c r="F41" s="111"/>
      <c r="G41" s="112"/>
      <c r="H41" s="110"/>
      <c r="I41" s="111"/>
      <c r="J41" s="112"/>
      <c r="K41" s="110"/>
      <c r="L41" s="111"/>
      <c r="M41" s="112"/>
      <c r="N41" s="110"/>
      <c r="O41" s="111"/>
      <c r="P41" s="112"/>
    </row>
    <row r="42" spans="1:16" ht="22.5" customHeight="1">
      <c r="A42" s="114"/>
      <c r="B42" s="180" t="s">
        <v>302</v>
      </c>
      <c r="C42" s="114"/>
      <c r="D42" s="135"/>
      <c r="E42" s="197" t="s">
        <v>303</v>
      </c>
      <c r="F42" s="114"/>
      <c r="G42" s="135"/>
      <c r="H42" s="182" t="s">
        <v>338</v>
      </c>
      <c r="I42" s="114"/>
      <c r="J42" s="135"/>
      <c r="K42" s="182" t="s">
        <v>339</v>
      </c>
      <c r="L42" s="114"/>
      <c r="M42" s="135"/>
      <c r="N42" s="182" t="s">
        <v>340</v>
      </c>
      <c r="O42" s="114"/>
      <c r="P42" s="135"/>
    </row>
    <row r="43" spans="1:16" ht="22.5" customHeight="1">
      <c r="A43" s="111"/>
      <c r="B43" s="110"/>
      <c r="C43" s="111"/>
      <c r="D43" s="112"/>
      <c r="E43" s="111"/>
      <c r="F43" s="111"/>
      <c r="G43" s="112"/>
      <c r="H43" s="110"/>
      <c r="I43" s="111"/>
      <c r="J43" s="112"/>
      <c r="K43" s="110"/>
      <c r="L43" s="111"/>
      <c r="M43" s="112"/>
      <c r="N43" s="110"/>
      <c r="O43" s="111"/>
      <c r="P43" s="112"/>
    </row>
    <row r="44" spans="1:16" ht="14.25" customHeight="1">
      <c r="A44" s="198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1:16" ht="22.5" customHeight="1">
      <c r="A45" s="194" t="s">
        <v>271</v>
      </c>
      <c r="B45" s="195" t="s">
        <v>272</v>
      </c>
      <c r="C45" s="114"/>
      <c r="D45" s="119"/>
      <c r="E45" s="195" t="s">
        <v>273</v>
      </c>
      <c r="F45" s="114"/>
      <c r="G45" s="119"/>
      <c r="H45" s="195" t="s">
        <v>274</v>
      </c>
      <c r="I45" s="114"/>
      <c r="J45" s="119"/>
      <c r="K45" s="195" t="s">
        <v>275</v>
      </c>
      <c r="L45" s="114"/>
      <c r="M45" s="119"/>
      <c r="N45" s="195" t="s">
        <v>276</v>
      </c>
      <c r="O45" s="114"/>
      <c r="P45" s="114"/>
    </row>
    <row r="46" spans="1:16" ht="22.5" customHeight="1">
      <c r="A46" s="119"/>
      <c r="B46" s="118"/>
      <c r="C46" s="114"/>
      <c r="D46" s="119"/>
      <c r="E46" s="118"/>
      <c r="F46" s="114"/>
      <c r="G46" s="119"/>
      <c r="H46" s="118"/>
      <c r="I46" s="114"/>
      <c r="J46" s="119"/>
      <c r="K46" s="118"/>
      <c r="L46" s="114"/>
      <c r="M46" s="119"/>
      <c r="N46" s="118"/>
      <c r="O46" s="114"/>
      <c r="P46" s="114"/>
    </row>
    <row r="47" spans="1:16" ht="22.5" customHeight="1">
      <c r="A47" s="196" t="s">
        <v>341</v>
      </c>
      <c r="B47" s="180" t="s">
        <v>342</v>
      </c>
      <c r="C47" s="114"/>
      <c r="D47" s="135"/>
      <c r="E47" s="197" t="s">
        <v>343</v>
      </c>
      <c r="F47" s="114"/>
      <c r="G47" s="135"/>
      <c r="H47" s="182" t="s">
        <v>344</v>
      </c>
      <c r="I47" s="114"/>
      <c r="J47" s="135"/>
      <c r="K47" s="182" t="s">
        <v>345</v>
      </c>
      <c r="L47" s="114"/>
      <c r="M47" s="135"/>
      <c r="N47" s="182" t="s">
        <v>346</v>
      </c>
      <c r="O47" s="114"/>
      <c r="P47" s="135"/>
    </row>
    <row r="48" spans="1:16" ht="22.5" customHeight="1">
      <c r="A48" s="114"/>
      <c r="B48" s="110"/>
      <c r="C48" s="111"/>
      <c r="D48" s="112"/>
      <c r="E48" s="111"/>
      <c r="F48" s="111"/>
      <c r="G48" s="112"/>
      <c r="H48" s="110"/>
      <c r="I48" s="111"/>
      <c r="J48" s="112"/>
      <c r="K48" s="110"/>
      <c r="L48" s="111"/>
      <c r="M48" s="112"/>
      <c r="N48" s="110"/>
      <c r="O48" s="111"/>
      <c r="P48" s="112"/>
    </row>
    <row r="49" spans="1:16" ht="22.5" customHeight="1">
      <c r="A49" s="114"/>
      <c r="B49" s="180" t="s">
        <v>347</v>
      </c>
      <c r="C49" s="114"/>
      <c r="D49" s="135"/>
      <c r="E49" s="197" t="s">
        <v>348</v>
      </c>
      <c r="F49" s="114"/>
      <c r="G49" s="135"/>
      <c r="H49" s="182" t="s">
        <v>349</v>
      </c>
      <c r="I49" s="114"/>
      <c r="J49" s="135"/>
      <c r="K49" s="182" t="s">
        <v>350</v>
      </c>
      <c r="L49" s="114"/>
      <c r="M49" s="135"/>
      <c r="N49" s="182" t="s">
        <v>351</v>
      </c>
      <c r="O49" s="114"/>
      <c r="P49" s="135"/>
    </row>
    <row r="50" spans="1:16" ht="22.5" customHeight="1">
      <c r="A50" s="114"/>
      <c r="B50" s="110"/>
      <c r="C50" s="111"/>
      <c r="D50" s="112"/>
      <c r="E50" s="111"/>
      <c r="F50" s="111"/>
      <c r="G50" s="112"/>
      <c r="H50" s="110"/>
      <c r="I50" s="111"/>
      <c r="J50" s="112"/>
      <c r="K50" s="110"/>
      <c r="L50" s="111"/>
      <c r="M50" s="112"/>
      <c r="N50" s="110"/>
      <c r="O50" s="111"/>
      <c r="P50" s="112"/>
    </row>
    <row r="51" spans="1:16" ht="22.5" customHeight="1">
      <c r="A51" s="114"/>
      <c r="B51" s="180" t="s">
        <v>352</v>
      </c>
      <c r="C51" s="114"/>
      <c r="D51" s="135"/>
      <c r="E51" s="197" t="s">
        <v>353</v>
      </c>
      <c r="F51" s="114"/>
      <c r="G51" s="135"/>
      <c r="H51" s="182" t="s">
        <v>354</v>
      </c>
      <c r="I51" s="114"/>
      <c r="J51" s="135"/>
      <c r="K51" s="182" t="s">
        <v>355</v>
      </c>
      <c r="L51" s="114"/>
      <c r="M51" s="135"/>
      <c r="N51" s="182" t="s">
        <v>356</v>
      </c>
      <c r="O51" s="114"/>
      <c r="P51" s="135"/>
    </row>
    <row r="52" spans="1:16" ht="22.5" customHeight="1">
      <c r="A52" s="114"/>
      <c r="B52" s="110"/>
      <c r="C52" s="111"/>
      <c r="D52" s="112"/>
      <c r="E52" s="111"/>
      <c r="F52" s="111"/>
      <c r="G52" s="112"/>
      <c r="H52" s="110"/>
      <c r="I52" s="111"/>
      <c r="J52" s="112"/>
      <c r="K52" s="110"/>
      <c r="L52" s="111"/>
      <c r="M52" s="112"/>
      <c r="N52" s="110"/>
      <c r="O52" s="111"/>
      <c r="P52" s="112"/>
    </row>
    <row r="53" spans="1:16" ht="22.5" customHeight="1">
      <c r="A53" s="114"/>
      <c r="B53" s="180" t="s">
        <v>357</v>
      </c>
      <c r="C53" s="114"/>
      <c r="D53" s="135"/>
      <c r="E53" s="197" t="s">
        <v>358</v>
      </c>
      <c r="F53" s="114"/>
      <c r="G53" s="135"/>
      <c r="H53" s="182" t="s">
        <v>359</v>
      </c>
      <c r="I53" s="114"/>
      <c r="J53" s="135"/>
      <c r="K53" s="182" t="s">
        <v>360</v>
      </c>
      <c r="L53" s="114"/>
      <c r="M53" s="135"/>
      <c r="N53" s="182" t="s">
        <v>361</v>
      </c>
      <c r="O53" s="114"/>
      <c r="P53" s="135"/>
    </row>
    <row r="54" spans="1:16" ht="22.5" customHeight="1">
      <c r="A54" s="114"/>
      <c r="B54" s="110"/>
      <c r="C54" s="111"/>
      <c r="D54" s="112"/>
      <c r="E54" s="111"/>
      <c r="F54" s="111"/>
      <c r="G54" s="112"/>
      <c r="H54" s="110"/>
      <c r="I54" s="111"/>
      <c r="J54" s="112"/>
      <c r="K54" s="110"/>
      <c r="L54" s="111"/>
      <c r="M54" s="112"/>
      <c r="N54" s="110"/>
      <c r="O54" s="111"/>
      <c r="P54" s="112"/>
    </row>
    <row r="55" spans="1:16" ht="22.5" customHeight="1">
      <c r="A55" s="114"/>
      <c r="B55" s="180" t="s">
        <v>297</v>
      </c>
      <c r="C55" s="114"/>
      <c r="D55" s="135"/>
      <c r="E55" s="197" t="s">
        <v>362</v>
      </c>
      <c r="F55" s="114"/>
      <c r="G55" s="135"/>
      <c r="H55" s="182" t="s">
        <v>363</v>
      </c>
      <c r="I55" s="114"/>
      <c r="J55" s="135"/>
      <c r="K55" s="182" t="s">
        <v>364</v>
      </c>
      <c r="L55" s="114"/>
      <c r="M55" s="135"/>
      <c r="N55" s="182" t="s">
        <v>365</v>
      </c>
      <c r="O55" s="114"/>
      <c r="P55" s="135"/>
    </row>
    <row r="56" spans="1:16" ht="22.5" customHeight="1">
      <c r="A56" s="114"/>
      <c r="B56" s="110"/>
      <c r="C56" s="111"/>
      <c r="D56" s="112"/>
      <c r="E56" s="111"/>
      <c r="F56" s="111"/>
      <c r="G56" s="112"/>
      <c r="H56" s="110"/>
      <c r="I56" s="111"/>
      <c r="J56" s="112"/>
      <c r="K56" s="110"/>
      <c r="L56" s="111"/>
      <c r="M56" s="112"/>
      <c r="N56" s="110"/>
      <c r="O56" s="111"/>
      <c r="P56" s="112"/>
    </row>
    <row r="57" spans="1:16" ht="22.5" customHeight="1">
      <c r="A57" s="114"/>
      <c r="B57" s="180" t="s">
        <v>333</v>
      </c>
      <c r="C57" s="114"/>
      <c r="D57" s="135"/>
      <c r="E57" s="197" t="s">
        <v>334</v>
      </c>
      <c r="F57" s="114"/>
      <c r="G57" s="135"/>
      <c r="H57" s="182" t="s">
        <v>335</v>
      </c>
      <c r="I57" s="114"/>
      <c r="J57" s="135"/>
      <c r="K57" s="182" t="s">
        <v>336</v>
      </c>
      <c r="L57" s="114"/>
      <c r="M57" s="135"/>
      <c r="N57" s="182" t="s">
        <v>337</v>
      </c>
      <c r="O57" s="114"/>
      <c r="P57" s="135"/>
    </row>
    <row r="58" spans="1:16" ht="22.5" customHeight="1">
      <c r="A58" s="114"/>
      <c r="B58" s="110"/>
      <c r="C58" s="111"/>
      <c r="D58" s="112"/>
      <c r="E58" s="111"/>
      <c r="F58" s="111"/>
      <c r="G58" s="112"/>
      <c r="H58" s="110"/>
      <c r="I58" s="111"/>
      <c r="J58" s="112"/>
      <c r="K58" s="110"/>
      <c r="L58" s="111"/>
      <c r="M58" s="112"/>
      <c r="N58" s="110"/>
      <c r="O58" s="111"/>
      <c r="P58" s="112"/>
    </row>
    <row r="59" spans="1:16" ht="22.5" customHeight="1">
      <c r="A59" s="114"/>
      <c r="B59" s="180" t="s">
        <v>302</v>
      </c>
      <c r="C59" s="114"/>
      <c r="D59" s="135"/>
      <c r="E59" s="197" t="s">
        <v>366</v>
      </c>
      <c r="F59" s="114"/>
      <c r="G59" s="135"/>
      <c r="H59" s="182" t="s">
        <v>367</v>
      </c>
      <c r="I59" s="114"/>
      <c r="J59" s="135"/>
      <c r="K59" s="182" t="s">
        <v>368</v>
      </c>
      <c r="L59" s="114"/>
      <c r="M59" s="135"/>
      <c r="N59" s="182" t="s">
        <v>369</v>
      </c>
      <c r="O59" s="114"/>
      <c r="P59" s="135"/>
    </row>
    <row r="60" spans="1:16" ht="22.5" customHeight="1">
      <c r="A60" s="111"/>
      <c r="B60" s="110"/>
      <c r="C60" s="111"/>
      <c r="D60" s="112"/>
      <c r="E60" s="111"/>
      <c r="F60" s="111"/>
      <c r="G60" s="112"/>
      <c r="H60" s="110"/>
      <c r="I60" s="111"/>
      <c r="J60" s="112"/>
      <c r="K60" s="110"/>
      <c r="L60" s="111"/>
      <c r="M60" s="112"/>
      <c r="N60" s="110"/>
      <c r="O60" s="111"/>
      <c r="P60" s="112"/>
    </row>
    <row r="61" spans="1:16" ht="22.5" customHeight="1">
      <c r="A61" s="101"/>
      <c r="B61" s="101"/>
      <c r="C61" s="102"/>
      <c r="D61" s="101"/>
      <c r="E61" s="102"/>
      <c r="F61" s="102"/>
      <c r="G61" s="100"/>
      <c r="H61" s="100"/>
      <c r="I61" s="100"/>
      <c r="J61" s="100"/>
      <c r="K61" s="101"/>
      <c r="L61" s="101"/>
      <c r="M61" s="101"/>
      <c r="N61" s="101"/>
      <c r="O61" s="13"/>
      <c r="P61" s="13"/>
    </row>
    <row r="62" spans="1:16" ht="22.5" customHeight="1">
      <c r="A62" s="101"/>
      <c r="B62" s="101"/>
      <c r="C62" s="102"/>
      <c r="D62" s="101"/>
      <c r="E62" s="102"/>
      <c r="F62" s="102"/>
      <c r="G62" s="100"/>
      <c r="H62" s="100"/>
      <c r="I62" s="100"/>
      <c r="J62" s="100"/>
      <c r="K62" s="101"/>
      <c r="L62" s="101"/>
      <c r="M62" s="101"/>
      <c r="N62" s="101"/>
      <c r="O62" s="13"/>
      <c r="P62" s="13"/>
    </row>
    <row r="63" spans="1:16" ht="22.5" customHeight="1">
      <c r="A63" s="9"/>
      <c r="B63" s="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22.5" customHeight="1">
      <c r="A64" s="9"/>
      <c r="B64" s="137" t="s">
        <v>370</v>
      </c>
      <c r="C64" s="114"/>
      <c r="D64" s="114"/>
      <c r="E64" s="114"/>
      <c r="F64" s="114"/>
      <c r="G64" s="114"/>
      <c r="H64" s="38"/>
      <c r="I64" s="38"/>
      <c r="J64" s="11"/>
      <c r="K64" s="11"/>
      <c r="L64" s="11"/>
      <c r="M64" s="11"/>
      <c r="N64" s="11"/>
      <c r="O64" s="11"/>
      <c r="P64" s="11"/>
    </row>
    <row r="65" spans="1:16" ht="22.5" customHeight="1" collapsed="1">
      <c r="A65" s="9"/>
      <c r="B65" s="138" t="s">
        <v>155</v>
      </c>
      <c r="C65" s="114"/>
      <c r="D65" s="114"/>
      <c r="E65" s="114"/>
      <c r="F65" s="114"/>
      <c r="G65" s="114"/>
      <c r="H65" s="38"/>
      <c r="I65" s="38"/>
      <c r="J65" s="11"/>
      <c r="K65" s="11"/>
      <c r="L65" s="11"/>
      <c r="M65" s="11"/>
      <c r="N65" s="11"/>
      <c r="O65" s="11"/>
      <c r="P65" s="11"/>
    </row>
    <row r="66" spans="1:16" ht="22.5" hidden="1" customHeight="1" outlineLevel="1">
      <c r="A66" s="9"/>
      <c r="B66" s="97"/>
      <c r="C66" s="38"/>
      <c r="D66" s="38"/>
      <c r="E66" s="38"/>
      <c r="F66" s="38"/>
      <c r="G66" s="38"/>
      <c r="H66" s="38"/>
      <c r="I66" s="38"/>
      <c r="J66" s="11"/>
      <c r="K66" s="11"/>
      <c r="L66" s="11"/>
      <c r="M66" s="11"/>
      <c r="N66" s="11"/>
      <c r="O66" s="11"/>
      <c r="P66" s="11"/>
    </row>
    <row r="67" spans="1:16" ht="22.5" hidden="1" customHeight="1" outlineLevel="1">
      <c r="A67" s="9"/>
      <c r="B67" s="199" t="s">
        <v>371</v>
      </c>
      <c r="C67" s="114"/>
      <c r="D67" s="114"/>
      <c r="E67" s="114"/>
      <c r="F67" s="114"/>
      <c r="G67" s="114"/>
      <c r="H67" s="114"/>
      <c r="I67" s="103"/>
      <c r="J67" s="11"/>
      <c r="K67" s="11"/>
      <c r="L67" s="11"/>
      <c r="M67" s="11"/>
      <c r="N67" s="11"/>
      <c r="O67" s="11"/>
      <c r="P67" s="11"/>
    </row>
    <row r="68" spans="1:16" ht="22.5" hidden="1" customHeight="1" outlineLevel="1">
      <c r="A68" s="9"/>
      <c r="B68" s="185"/>
      <c r="C68" s="114"/>
      <c r="D68" s="114"/>
      <c r="E68" s="114"/>
      <c r="F68" s="114"/>
      <c r="G68" s="114"/>
      <c r="H68" s="114"/>
      <c r="I68" s="103"/>
      <c r="J68" s="11"/>
      <c r="K68" s="11"/>
      <c r="L68" s="11"/>
      <c r="M68" s="11"/>
      <c r="N68" s="11"/>
      <c r="O68" s="11"/>
      <c r="P68" s="11"/>
    </row>
    <row r="69" spans="1:16" ht="22.5" hidden="1" customHeight="1" outlineLevel="1">
      <c r="A69" s="9"/>
      <c r="B69" s="185"/>
      <c r="C69" s="114"/>
      <c r="D69" s="114"/>
      <c r="E69" s="114"/>
      <c r="F69" s="114"/>
      <c r="G69" s="114"/>
      <c r="H69" s="114"/>
      <c r="I69" s="103"/>
      <c r="J69" s="11"/>
      <c r="K69" s="11"/>
      <c r="L69" s="11"/>
      <c r="M69" s="11"/>
      <c r="N69" s="11"/>
      <c r="O69" s="11"/>
      <c r="P69" s="11"/>
    </row>
    <row r="70" spans="1:16" ht="22.5" hidden="1" customHeight="1" outlineLevel="1">
      <c r="A70" s="9"/>
      <c r="B70" s="98"/>
      <c r="C70" s="99"/>
      <c r="D70" s="99"/>
      <c r="E70" s="99"/>
      <c r="F70" s="99"/>
      <c r="G70" s="99"/>
      <c r="H70" s="99"/>
      <c r="I70" s="99"/>
      <c r="J70" s="11"/>
      <c r="K70" s="11"/>
      <c r="L70" s="11"/>
      <c r="M70" s="11"/>
      <c r="N70" s="11"/>
      <c r="O70" s="11"/>
      <c r="P70" s="11"/>
    </row>
    <row r="71" spans="1:16" ht="22.5" customHeight="1">
      <c r="A71" s="9"/>
      <c r="B71" s="97"/>
      <c r="C71" s="38"/>
      <c r="D71" s="38"/>
      <c r="E71" s="38"/>
      <c r="F71" s="38"/>
      <c r="G71" s="38"/>
      <c r="H71" s="38"/>
      <c r="I71" s="38"/>
      <c r="J71" s="11"/>
      <c r="K71" s="11"/>
      <c r="L71" s="11"/>
      <c r="M71" s="11"/>
      <c r="N71" s="11"/>
      <c r="O71" s="11"/>
      <c r="P71" s="11"/>
    </row>
    <row r="72" spans="1:16" ht="22.5" customHeight="1">
      <c r="A72" s="9"/>
      <c r="B72" s="97"/>
      <c r="C72" s="38"/>
      <c r="D72" s="38"/>
      <c r="E72" s="38"/>
      <c r="F72" s="38"/>
      <c r="G72" s="38"/>
      <c r="H72" s="38"/>
      <c r="I72" s="38"/>
      <c r="J72" s="11"/>
      <c r="K72" s="11"/>
      <c r="L72" s="11"/>
      <c r="M72" s="11"/>
      <c r="N72" s="11"/>
      <c r="O72" s="11"/>
      <c r="P72" s="11"/>
    </row>
    <row r="73" spans="1:16" ht="22.5" customHeight="1">
      <c r="A73" s="9"/>
      <c r="B73" s="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</sheetData>
  <mergeCells count="136">
    <mergeCell ref="E45:G46"/>
    <mergeCell ref="H45:J46"/>
    <mergeCell ref="K45:M46"/>
    <mergeCell ref="N45:P46"/>
    <mergeCell ref="K53:M54"/>
    <mergeCell ref="N53:P54"/>
    <mergeCell ref="E40:G41"/>
    <mergeCell ref="H40:J41"/>
    <mergeCell ref="K40:M41"/>
    <mergeCell ref="N40:P41"/>
    <mergeCell ref="E42:G43"/>
    <mergeCell ref="H42:J43"/>
    <mergeCell ref="K42:M43"/>
    <mergeCell ref="N42:P43"/>
    <mergeCell ref="A44:P44"/>
    <mergeCell ref="H34:J35"/>
    <mergeCell ref="E36:G37"/>
    <mergeCell ref="H36:J37"/>
    <mergeCell ref="K36:M37"/>
    <mergeCell ref="N36:P37"/>
    <mergeCell ref="H38:J39"/>
    <mergeCell ref="K38:M39"/>
    <mergeCell ref="N38:P39"/>
    <mergeCell ref="E38:G39"/>
    <mergeCell ref="E57:G58"/>
    <mergeCell ref="E59:G60"/>
    <mergeCell ref="H59:J60"/>
    <mergeCell ref="K59:M60"/>
    <mergeCell ref="N59:P60"/>
    <mergeCell ref="B64:G64"/>
    <mergeCell ref="B65:G65"/>
    <mergeCell ref="B67:H69"/>
    <mergeCell ref="E55:G56"/>
    <mergeCell ref="H55:J56"/>
    <mergeCell ref="K55:M56"/>
    <mergeCell ref="N55:P56"/>
    <mergeCell ref="H57:J58"/>
    <mergeCell ref="K57:M58"/>
    <mergeCell ref="N57:P58"/>
    <mergeCell ref="H49:J50"/>
    <mergeCell ref="K49:M50"/>
    <mergeCell ref="N49:P50"/>
    <mergeCell ref="E49:G50"/>
    <mergeCell ref="E51:G52"/>
    <mergeCell ref="H51:J52"/>
    <mergeCell ref="K51:M52"/>
    <mergeCell ref="N51:P52"/>
    <mergeCell ref="E53:G54"/>
    <mergeCell ref="H53:J54"/>
    <mergeCell ref="E25:G26"/>
    <mergeCell ref="H25:J26"/>
    <mergeCell ref="K25:M26"/>
    <mergeCell ref="N25:P26"/>
    <mergeCell ref="A27:P27"/>
    <mergeCell ref="E47:G48"/>
    <mergeCell ref="H47:J48"/>
    <mergeCell ref="K47:M48"/>
    <mergeCell ref="N47:P48"/>
    <mergeCell ref="E28:G29"/>
    <mergeCell ref="H28:J29"/>
    <mergeCell ref="K28:M29"/>
    <mergeCell ref="N28:P29"/>
    <mergeCell ref="H30:J31"/>
    <mergeCell ref="K30:M31"/>
    <mergeCell ref="N30:P31"/>
    <mergeCell ref="K34:M35"/>
    <mergeCell ref="N34:P35"/>
    <mergeCell ref="E30:G31"/>
    <mergeCell ref="E32:G33"/>
    <mergeCell ref="H32:J33"/>
    <mergeCell ref="K32:M33"/>
    <mergeCell ref="N32:P33"/>
    <mergeCell ref="E34:G35"/>
    <mergeCell ref="H23:J24"/>
    <mergeCell ref="K23:M24"/>
    <mergeCell ref="B19:D20"/>
    <mergeCell ref="B21:D22"/>
    <mergeCell ref="E21:G22"/>
    <mergeCell ref="H21:J22"/>
    <mergeCell ref="K21:M22"/>
    <mergeCell ref="N21:P22"/>
    <mergeCell ref="E23:G24"/>
    <mergeCell ref="N23:P24"/>
    <mergeCell ref="B23:D24"/>
    <mergeCell ref="E17:G18"/>
    <mergeCell ref="H17:J18"/>
    <mergeCell ref="K17:M18"/>
    <mergeCell ref="N17:P18"/>
    <mergeCell ref="E19:G20"/>
    <mergeCell ref="H19:J20"/>
    <mergeCell ref="K19:M20"/>
    <mergeCell ref="N19:P20"/>
    <mergeCell ref="F7:G8"/>
    <mergeCell ref="E13:G14"/>
    <mergeCell ref="H13:J14"/>
    <mergeCell ref="K13:M14"/>
    <mergeCell ref="N13:P14"/>
    <mergeCell ref="E15:G16"/>
    <mergeCell ref="H15:J16"/>
    <mergeCell ref="E3:P6"/>
    <mergeCell ref="E7:E8"/>
    <mergeCell ref="I7:I8"/>
    <mergeCell ref="J7:J8"/>
    <mergeCell ref="L7:L8"/>
    <mergeCell ref="M7:N8"/>
    <mergeCell ref="A12:P12"/>
    <mergeCell ref="K15:M16"/>
    <mergeCell ref="N15:P16"/>
    <mergeCell ref="A45:A46"/>
    <mergeCell ref="A47:A60"/>
    <mergeCell ref="B45:D46"/>
    <mergeCell ref="B47:D48"/>
    <mergeCell ref="B49:D50"/>
    <mergeCell ref="B51:D52"/>
    <mergeCell ref="B53:D54"/>
    <mergeCell ref="B55:D56"/>
    <mergeCell ref="B57:D58"/>
    <mergeCell ref="B59:D60"/>
    <mergeCell ref="A3:C8"/>
    <mergeCell ref="A11:C11"/>
    <mergeCell ref="A13:A14"/>
    <mergeCell ref="B13:D14"/>
    <mergeCell ref="A15:A26"/>
    <mergeCell ref="B15:D16"/>
    <mergeCell ref="B17:D18"/>
    <mergeCell ref="B38:D39"/>
    <mergeCell ref="B40:D41"/>
    <mergeCell ref="A30:A43"/>
    <mergeCell ref="A28:A29"/>
    <mergeCell ref="B28:D29"/>
    <mergeCell ref="B30:D31"/>
    <mergeCell ref="B32:D33"/>
    <mergeCell ref="B34:D35"/>
    <mergeCell ref="B36:D37"/>
    <mergeCell ref="B42:D43"/>
    <mergeCell ref="B25:D26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70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5" width="13.1406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13"/>
      <c r="B3" s="114"/>
      <c r="C3" s="114"/>
      <c r="D3" s="6"/>
      <c r="E3" s="115" t="s">
        <v>372</v>
      </c>
      <c r="F3" s="116"/>
      <c r="G3" s="116"/>
      <c r="H3" s="116"/>
      <c r="I3" s="116"/>
      <c r="J3" s="116"/>
      <c r="K3" s="116"/>
      <c r="L3" s="116"/>
      <c r="M3" s="116"/>
      <c r="N3" s="117"/>
      <c r="O3" s="1"/>
    </row>
    <row r="4" spans="1:15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9"/>
      <c r="O4" s="1"/>
    </row>
    <row r="5" spans="1:15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9"/>
      <c r="O5" s="1"/>
    </row>
    <row r="6" spans="1:15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2"/>
      <c r="O6" s="1"/>
    </row>
    <row r="7" spans="1:15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"/>
    </row>
    <row r="8" spans="1:15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147" t="s">
        <v>373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5"/>
      <c r="O12" s="96"/>
    </row>
    <row r="13" spans="1:15" ht="22.5" customHeight="1">
      <c r="A13" s="188" t="s">
        <v>374</v>
      </c>
      <c r="B13" s="114"/>
      <c r="C13" s="114"/>
      <c r="D13" s="208" t="s">
        <v>375</v>
      </c>
      <c r="E13" s="114"/>
      <c r="F13" s="114"/>
      <c r="G13" s="114"/>
      <c r="H13" s="209" t="s">
        <v>376</v>
      </c>
      <c r="I13" s="114"/>
      <c r="J13" s="114"/>
      <c r="K13" s="114"/>
      <c r="L13" s="210" t="s">
        <v>377</v>
      </c>
      <c r="M13" s="114"/>
      <c r="N13" s="114"/>
      <c r="O13" s="11"/>
    </row>
    <row r="14" spans="1:15" ht="22.5" customHeight="1">
      <c r="A14" s="114"/>
      <c r="B14" s="114"/>
      <c r="C14" s="114"/>
      <c r="D14" s="118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"/>
    </row>
    <row r="15" spans="1:15" ht="22.5" customHeight="1">
      <c r="A15" s="200" t="s">
        <v>378</v>
      </c>
      <c r="B15" s="114"/>
      <c r="C15" s="203" t="b">
        <v>1</v>
      </c>
      <c r="D15" s="182" t="s">
        <v>379</v>
      </c>
      <c r="E15" s="114"/>
      <c r="F15" s="114"/>
      <c r="G15" s="135"/>
      <c r="H15" s="182" t="s">
        <v>380</v>
      </c>
      <c r="I15" s="114"/>
      <c r="J15" s="114"/>
      <c r="K15" s="135"/>
      <c r="L15" s="205"/>
      <c r="M15" s="108"/>
      <c r="N15" s="109"/>
      <c r="O15" s="11"/>
    </row>
    <row r="16" spans="1:15" ht="22.5" customHeight="1">
      <c r="A16" s="201"/>
      <c r="B16" s="114"/>
      <c r="C16" s="204"/>
      <c r="D16" s="110"/>
      <c r="E16" s="111"/>
      <c r="F16" s="111"/>
      <c r="G16" s="112"/>
      <c r="H16" s="110"/>
      <c r="I16" s="111"/>
      <c r="J16" s="111"/>
      <c r="K16" s="112"/>
      <c r="L16" s="110"/>
      <c r="M16" s="111"/>
      <c r="N16" s="112"/>
      <c r="O16" s="11"/>
    </row>
    <row r="17" spans="1:15" ht="22.5" customHeight="1">
      <c r="A17" s="201"/>
      <c r="B17" s="114"/>
      <c r="C17" s="203" t="b">
        <v>1</v>
      </c>
      <c r="D17" s="182" t="s">
        <v>381</v>
      </c>
      <c r="E17" s="114"/>
      <c r="F17" s="114"/>
      <c r="G17" s="135"/>
      <c r="H17" s="182" t="s">
        <v>382</v>
      </c>
      <c r="I17" s="114"/>
      <c r="J17" s="114"/>
      <c r="K17" s="135"/>
      <c r="L17" s="205"/>
      <c r="M17" s="108"/>
      <c r="N17" s="109"/>
      <c r="O17" s="11"/>
    </row>
    <row r="18" spans="1:15" ht="22.5" customHeight="1">
      <c r="A18" s="201"/>
      <c r="B18" s="114"/>
      <c r="C18" s="204"/>
      <c r="D18" s="110"/>
      <c r="E18" s="111"/>
      <c r="F18" s="111"/>
      <c r="G18" s="112"/>
      <c r="H18" s="110"/>
      <c r="I18" s="111"/>
      <c r="J18" s="111"/>
      <c r="K18" s="112"/>
      <c r="L18" s="110"/>
      <c r="M18" s="111"/>
      <c r="N18" s="112"/>
      <c r="O18" s="11"/>
    </row>
    <row r="19" spans="1:15" ht="22.5" customHeight="1">
      <c r="A19" s="201"/>
      <c r="B19" s="114"/>
      <c r="C19" s="203" t="b">
        <v>1</v>
      </c>
      <c r="D19" s="182" t="s">
        <v>383</v>
      </c>
      <c r="E19" s="114"/>
      <c r="F19" s="114"/>
      <c r="G19" s="135"/>
      <c r="H19" s="182" t="s">
        <v>384</v>
      </c>
      <c r="I19" s="114"/>
      <c r="J19" s="114"/>
      <c r="K19" s="135"/>
      <c r="L19" s="205"/>
      <c r="M19" s="108"/>
      <c r="N19" s="109"/>
      <c r="O19" s="11"/>
    </row>
    <row r="20" spans="1:15" ht="22.5" customHeight="1">
      <c r="A20" s="202"/>
      <c r="B20" s="111"/>
      <c r="C20" s="204"/>
      <c r="D20" s="110"/>
      <c r="E20" s="111"/>
      <c r="F20" s="111"/>
      <c r="G20" s="112"/>
      <c r="H20" s="110"/>
      <c r="I20" s="111"/>
      <c r="J20" s="111"/>
      <c r="K20" s="112"/>
      <c r="L20" s="110"/>
      <c r="M20" s="111"/>
      <c r="N20" s="112"/>
      <c r="O20" s="11"/>
    </row>
    <row r="21" spans="1:15" ht="13.5" customHeight="1">
      <c r="A21" s="206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207"/>
      <c r="O21" s="11"/>
    </row>
    <row r="22" spans="1:15" ht="22.5" customHeight="1">
      <c r="A22" s="200" t="s">
        <v>385</v>
      </c>
      <c r="B22" s="114"/>
      <c r="C22" s="203" t="b">
        <v>1</v>
      </c>
      <c r="D22" s="182" t="s">
        <v>386</v>
      </c>
      <c r="E22" s="114"/>
      <c r="F22" s="114"/>
      <c r="G22" s="135"/>
      <c r="H22" s="182" t="s">
        <v>387</v>
      </c>
      <c r="I22" s="114"/>
      <c r="J22" s="114"/>
      <c r="K22" s="135"/>
      <c r="L22" s="205"/>
      <c r="M22" s="108"/>
      <c r="N22" s="109"/>
      <c r="O22" s="11"/>
    </row>
    <row r="23" spans="1:15" ht="22.5" customHeight="1">
      <c r="A23" s="201"/>
      <c r="B23" s="114"/>
      <c r="C23" s="204"/>
      <c r="D23" s="110"/>
      <c r="E23" s="111"/>
      <c r="F23" s="111"/>
      <c r="G23" s="112"/>
      <c r="H23" s="110"/>
      <c r="I23" s="111"/>
      <c r="J23" s="111"/>
      <c r="K23" s="112"/>
      <c r="L23" s="110"/>
      <c r="M23" s="111"/>
      <c r="N23" s="112"/>
      <c r="O23" s="11"/>
    </row>
    <row r="24" spans="1:15" ht="22.5" customHeight="1">
      <c r="A24" s="201"/>
      <c r="B24" s="114"/>
      <c r="C24" s="203" t="b">
        <v>1</v>
      </c>
      <c r="D24" s="182" t="s">
        <v>388</v>
      </c>
      <c r="E24" s="114"/>
      <c r="F24" s="114"/>
      <c r="G24" s="135"/>
      <c r="H24" s="182" t="s">
        <v>389</v>
      </c>
      <c r="I24" s="114"/>
      <c r="J24" s="114"/>
      <c r="K24" s="135"/>
      <c r="L24" s="205"/>
      <c r="M24" s="108"/>
      <c r="N24" s="109"/>
      <c r="O24" s="13"/>
    </row>
    <row r="25" spans="1:15" ht="22.5" customHeight="1">
      <c r="A25" s="201"/>
      <c r="B25" s="114"/>
      <c r="C25" s="204"/>
      <c r="D25" s="110"/>
      <c r="E25" s="111"/>
      <c r="F25" s="111"/>
      <c r="G25" s="112"/>
      <c r="H25" s="110"/>
      <c r="I25" s="111"/>
      <c r="J25" s="111"/>
      <c r="K25" s="112"/>
      <c r="L25" s="110"/>
      <c r="M25" s="111"/>
      <c r="N25" s="112"/>
      <c r="O25" s="13"/>
    </row>
    <row r="26" spans="1:15" ht="22.5" customHeight="1">
      <c r="A26" s="201"/>
      <c r="B26" s="114"/>
      <c r="C26" s="203" t="b">
        <v>1</v>
      </c>
      <c r="D26" s="182" t="s">
        <v>390</v>
      </c>
      <c r="E26" s="114"/>
      <c r="F26" s="114"/>
      <c r="G26" s="135"/>
      <c r="H26" s="182" t="s">
        <v>391</v>
      </c>
      <c r="I26" s="114"/>
      <c r="J26" s="114"/>
      <c r="K26" s="135"/>
      <c r="L26" s="205"/>
      <c r="M26" s="108"/>
      <c r="N26" s="109"/>
      <c r="O26" s="13"/>
    </row>
    <row r="27" spans="1:15" ht="22.5" customHeight="1">
      <c r="A27" s="201"/>
      <c r="B27" s="114"/>
      <c r="C27" s="204"/>
      <c r="D27" s="110"/>
      <c r="E27" s="111"/>
      <c r="F27" s="111"/>
      <c r="G27" s="112"/>
      <c r="H27" s="110"/>
      <c r="I27" s="111"/>
      <c r="J27" s="111"/>
      <c r="K27" s="112"/>
      <c r="L27" s="110"/>
      <c r="M27" s="111"/>
      <c r="N27" s="112"/>
      <c r="O27" s="13"/>
    </row>
    <row r="28" spans="1:15" ht="22.5" customHeight="1">
      <c r="A28" s="201"/>
      <c r="B28" s="114"/>
      <c r="C28" s="203" t="b">
        <v>1</v>
      </c>
      <c r="D28" s="182" t="s">
        <v>392</v>
      </c>
      <c r="E28" s="114"/>
      <c r="F28" s="114"/>
      <c r="G28" s="135"/>
      <c r="H28" s="182" t="s">
        <v>393</v>
      </c>
      <c r="I28" s="114"/>
      <c r="J28" s="114"/>
      <c r="K28" s="135"/>
      <c r="L28" s="205"/>
      <c r="M28" s="108"/>
      <c r="N28" s="109"/>
      <c r="O28" s="13"/>
    </row>
    <row r="29" spans="1:15" ht="22.5" customHeight="1">
      <c r="A29" s="202"/>
      <c r="B29" s="111"/>
      <c r="C29" s="204"/>
      <c r="D29" s="110"/>
      <c r="E29" s="111"/>
      <c r="F29" s="111"/>
      <c r="G29" s="112"/>
      <c r="H29" s="110"/>
      <c r="I29" s="111"/>
      <c r="J29" s="111"/>
      <c r="K29" s="112"/>
      <c r="L29" s="110"/>
      <c r="M29" s="111"/>
      <c r="N29" s="112"/>
      <c r="O29" s="13"/>
    </row>
    <row r="30" spans="1:15" ht="15" customHeight="1">
      <c r="A30" s="18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9"/>
      <c r="O30" s="13"/>
    </row>
    <row r="31" spans="1:15" ht="22.5" customHeight="1">
      <c r="A31" s="200" t="s">
        <v>394</v>
      </c>
      <c r="B31" s="114"/>
      <c r="C31" s="203" t="b">
        <v>1</v>
      </c>
      <c r="D31" s="182" t="s">
        <v>395</v>
      </c>
      <c r="E31" s="114"/>
      <c r="F31" s="114"/>
      <c r="G31" s="135"/>
      <c r="H31" s="182" t="s">
        <v>396</v>
      </c>
      <c r="I31" s="114"/>
      <c r="J31" s="114"/>
      <c r="K31" s="135"/>
      <c r="L31" s="205"/>
      <c r="M31" s="108"/>
      <c r="N31" s="109"/>
      <c r="O31" s="13"/>
    </row>
    <row r="32" spans="1:15" ht="22.5" customHeight="1">
      <c r="A32" s="201"/>
      <c r="B32" s="114"/>
      <c r="C32" s="204"/>
      <c r="D32" s="110"/>
      <c r="E32" s="111"/>
      <c r="F32" s="111"/>
      <c r="G32" s="112"/>
      <c r="H32" s="110"/>
      <c r="I32" s="111"/>
      <c r="J32" s="111"/>
      <c r="K32" s="112"/>
      <c r="L32" s="110"/>
      <c r="M32" s="111"/>
      <c r="N32" s="112"/>
      <c r="O32" s="13"/>
    </row>
    <row r="33" spans="1:15" ht="22.5" customHeight="1">
      <c r="A33" s="201"/>
      <c r="B33" s="114"/>
      <c r="C33" s="203" t="b">
        <v>1</v>
      </c>
      <c r="D33" s="182" t="s">
        <v>397</v>
      </c>
      <c r="E33" s="114"/>
      <c r="F33" s="114"/>
      <c r="G33" s="135"/>
      <c r="H33" s="182" t="s">
        <v>398</v>
      </c>
      <c r="I33" s="114"/>
      <c r="J33" s="114"/>
      <c r="K33" s="135"/>
      <c r="L33" s="205"/>
      <c r="M33" s="108"/>
      <c r="N33" s="109"/>
      <c r="O33" s="13"/>
    </row>
    <row r="34" spans="1:15" ht="22.5" customHeight="1">
      <c r="A34" s="201"/>
      <c r="B34" s="114"/>
      <c r="C34" s="204"/>
      <c r="D34" s="110"/>
      <c r="E34" s="111"/>
      <c r="F34" s="111"/>
      <c r="G34" s="112"/>
      <c r="H34" s="110"/>
      <c r="I34" s="111"/>
      <c r="J34" s="111"/>
      <c r="K34" s="112"/>
      <c r="L34" s="110"/>
      <c r="M34" s="111"/>
      <c r="N34" s="112"/>
      <c r="O34" s="13"/>
    </row>
    <row r="35" spans="1:15" ht="22.5" customHeight="1">
      <c r="A35" s="201"/>
      <c r="B35" s="114"/>
      <c r="C35" s="203" t="b">
        <v>1</v>
      </c>
      <c r="D35" s="182" t="s">
        <v>399</v>
      </c>
      <c r="E35" s="114"/>
      <c r="F35" s="114"/>
      <c r="G35" s="135"/>
      <c r="H35" s="182" t="s">
        <v>400</v>
      </c>
      <c r="I35" s="114"/>
      <c r="J35" s="114"/>
      <c r="K35" s="135"/>
      <c r="L35" s="205"/>
      <c r="M35" s="108"/>
      <c r="N35" s="109"/>
      <c r="O35" s="11"/>
    </row>
    <row r="36" spans="1:15" ht="22.5" customHeight="1">
      <c r="A36" s="202"/>
      <c r="B36" s="111"/>
      <c r="C36" s="204"/>
      <c r="D36" s="110"/>
      <c r="E36" s="111"/>
      <c r="F36" s="111"/>
      <c r="G36" s="112"/>
      <c r="H36" s="110"/>
      <c r="I36" s="111"/>
      <c r="J36" s="111"/>
      <c r="K36" s="112"/>
      <c r="L36" s="110"/>
      <c r="M36" s="111"/>
      <c r="N36" s="112"/>
      <c r="O36" s="11"/>
    </row>
    <row r="37" spans="1:15" ht="15" customHeight="1">
      <c r="A37" s="18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9"/>
      <c r="O37" s="11"/>
    </row>
    <row r="38" spans="1:15" ht="22.5" customHeight="1">
      <c r="A38" s="200" t="s">
        <v>401</v>
      </c>
      <c r="B38" s="114"/>
      <c r="C38" s="203" t="b">
        <v>1</v>
      </c>
      <c r="D38" s="182" t="s">
        <v>402</v>
      </c>
      <c r="E38" s="114"/>
      <c r="F38" s="114"/>
      <c r="G38" s="135"/>
      <c r="H38" s="182" t="s">
        <v>403</v>
      </c>
      <c r="I38" s="114"/>
      <c r="J38" s="114"/>
      <c r="K38" s="135"/>
      <c r="L38" s="205"/>
      <c r="M38" s="108"/>
      <c r="N38" s="109"/>
      <c r="O38" s="11"/>
    </row>
    <row r="39" spans="1:15" ht="22.5" customHeight="1">
      <c r="A39" s="201"/>
      <c r="B39" s="114"/>
      <c r="C39" s="204"/>
      <c r="D39" s="110"/>
      <c r="E39" s="111"/>
      <c r="F39" s="111"/>
      <c r="G39" s="112"/>
      <c r="H39" s="110"/>
      <c r="I39" s="111"/>
      <c r="J39" s="111"/>
      <c r="K39" s="112"/>
      <c r="L39" s="110"/>
      <c r="M39" s="111"/>
      <c r="N39" s="112"/>
      <c r="O39" s="11"/>
    </row>
    <row r="40" spans="1:15" ht="22.5" customHeight="1">
      <c r="A40" s="201"/>
      <c r="B40" s="114"/>
      <c r="C40" s="203" t="b">
        <v>1</v>
      </c>
      <c r="D40" s="182" t="s">
        <v>404</v>
      </c>
      <c r="E40" s="114"/>
      <c r="F40" s="114"/>
      <c r="G40" s="135"/>
      <c r="H40" s="182" t="s">
        <v>405</v>
      </c>
      <c r="I40" s="114"/>
      <c r="J40" s="114"/>
      <c r="K40" s="135"/>
      <c r="L40" s="205"/>
      <c r="M40" s="108"/>
      <c r="N40" s="109"/>
      <c r="O40" s="11"/>
    </row>
    <row r="41" spans="1:15" ht="22.5" customHeight="1">
      <c r="A41" s="201"/>
      <c r="B41" s="114"/>
      <c r="C41" s="204"/>
      <c r="D41" s="110"/>
      <c r="E41" s="111"/>
      <c r="F41" s="111"/>
      <c r="G41" s="112"/>
      <c r="H41" s="110"/>
      <c r="I41" s="111"/>
      <c r="J41" s="111"/>
      <c r="K41" s="112"/>
      <c r="L41" s="110"/>
      <c r="M41" s="111"/>
      <c r="N41" s="112"/>
      <c r="O41" s="11"/>
    </row>
    <row r="42" spans="1:15" ht="22.5" customHeight="1">
      <c r="A42" s="201"/>
      <c r="B42" s="114"/>
      <c r="C42" s="203" t="b">
        <v>1</v>
      </c>
      <c r="D42" s="182" t="s">
        <v>406</v>
      </c>
      <c r="E42" s="114"/>
      <c r="F42" s="114"/>
      <c r="G42" s="135"/>
      <c r="H42" s="182" t="s">
        <v>407</v>
      </c>
      <c r="I42" s="114"/>
      <c r="J42" s="114"/>
      <c r="K42" s="135"/>
      <c r="L42" s="205"/>
      <c r="M42" s="108"/>
      <c r="N42" s="109"/>
      <c r="O42" s="11"/>
    </row>
    <row r="43" spans="1:15" ht="22.5" customHeight="1">
      <c r="A43" s="202"/>
      <c r="B43" s="111"/>
      <c r="C43" s="204"/>
      <c r="D43" s="110"/>
      <c r="E43" s="111"/>
      <c r="F43" s="111"/>
      <c r="G43" s="112"/>
      <c r="H43" s="110"/>
      <c r="I43" s="111"/>
      <c r="J43" s="111"/>
      <c r="K43" s="112"/>
      <c r="L43" s="110"/>
      <c r="M43" s="111"/>
      <c r="N43" s="112"/>
      <c r="O43" s="11"/>
    </row>
    <row r="44" spans="1:15" ht="15" customHeight="1">
      <c r="A44" s="183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9"/>
      <c r="O44" s="11"/>
    </row>
    <row r="45" spans="1:15" ht="22.5" customHeight="1">
      <c r="A45" s="200" t="s">
        <v>408</v>
      </c>
      <c r="B45" s="114"/>
      <c r="C45" s="203" t="b">
        <v>1</v>
      </c>
      <c r="D45" s="182" t="s">
        <v>409</v>
      </c>
      <c r="E45" s="114"/>
      <c r="F45" s="114"/>
      <c r="G45" s="135"/>
      <c r="H45" s="182" t="s">
        <v>410</v>
      </c>
      <c r="I45" s="114"/>
      <c r="J45" s="114"/>
      <c r="K45" s="135"/>
      <c r="L45" s="205"/>
      <c r="M45" s="108"/>
      <c r="N45" s="109"/>
      <c r="O45" s="11"/>
    </row>
    <row r="46" spans="1:15" ht="22.5" customHeight="1">
      <c r="A46" s="201"/>
      <c r="B46" s="114"/>
      <c r="C46" s="204"/>
      <c r="D46" s="110"/>
      <c r="E46" s="111"/>
      <c r="F46" s="111"/>
      <c r="G46" s="112"/>
      <c r="H46" s="110"/>
      <c r="I46" s="111"/>
      <c r="J46" s="111"/>
      <c r="K46" s="112"/>
      <c r="L46" s="110"/>
      <c r="M46" s="111"/>
      <c r="N46" s="112"/>
      <c r="O46" s="11"/>
    </row>
    <row r="47" spans="1:15" ht="22.5" customHeight="1">
      <c r="A47" s="201"/>
      <c r="B47" s="114"/>
      <c r="C47" s="203" t="b">
        <v>1</v>
      </c>
      <c r="D47" s="182" t="s">
        <v>411</v>
      </c>
      <c r="E47" s="114"/>
      <c r="F47" s="114"/>
      <c r="G47" s="135"/>
      <c r="H47" s="182" t="s">
        <v>412</v>
      </c>
      <c r="I47" s="114"/>
      <c r="J47" s="114"/>
      <c r="K47" s="135"/>
      <c r="L47" s="205"/>
      <c r="M47" s="108"/>
      <c r="N47" s="109"/>
      <c r="O47" s="11"/>
    </row>
    <row r="48" spans="1:15" ht="22.5" customHeight="1">
      <c r="A48" s="202"/>
      <c r="B48" s="111"/>
      <c r="C48" s="204"/>
      <c r="D48" s="110"/>
      <c r="E48" s="111"/>
      <c r="F48" s="111"/>
      <c r="G48" s="112"/>
      <c r="H48" s="110"/>
      <c r="I48" s="111"/>
      <c r="J48" s="111"/>
      <c r="K48" s="112"/>
      <c r="L48" s="110"/>
      <c r="M48" s="111"/>
      <c r="N48" s="112"/>
      <c r="O48" s="11"/>
    </row>
    <row r="49" spans="1:15" ht="13.5" customHeight="1">
      <c r="A49" s="18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9"/>
      <c r="O49" s="11"/>
    </row>
    <row r="50" spans="1:15" ht="22.5" customHeight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22.5" customHeight="1">
      <c r="A51" s="9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22.5" customHeight="1">
      <c r="A52" s="9"/>
      <c r="B52" s="137" t="s">
        <v>370</v>
      </c>
      <c r="C52" s="114"/>
      <c r="D52" s="114"/>
      <c r="E52" s="114"/>
      <c r="F52" s="114"/>
      <c r="G52" s="114"/>
      <c r="H52" s="38"/>
      <c r="I52" s="38"/>
      <c r="J52" s="11"/>
      <c r="K52" s="11"/>
      <c r="L52" s="11"/>
      <c r="M52" s="11"/>
      <c r="N52" s="11"/>
      <c r="O52" s="11"/>
    </row>
    <row r="53" spans="1:15" ht="22.5" customHeight="1" collapsed="1">
      <c r="A53" s="9"/>
      <c r="B53" s="138" t="s">
        <v>155</v>
      </c>
      <c r="C53" s="114"/>
      <c r="D53" s="114"/>
      <c r="E53" s="114"/>
      <c r="F53" s="114"/>
      <c r="G53" s="114"/>
      <c r="H53" s="38"/>
      <c r="I53" s="38"/>
      <c r="J53" s="11"/>
      <c r="K53" s="11"/>
      <c r="L53" s="11"/>
      <c r="M53" s="11"/>
      <c r="N53" s="11"/>
      <c r="O53" s="11"/>
    </row>
    <row r="54" spans="1:15" ht="22.5" hidden="1" customHeight="1" outlineLevel="1">
      <c r="A54" s="9"/>
      <c r="B54" s="97"/>
      <c r="C54" s="38"/>
      <c r="D54" s="38"/>
      <c r="E54" s="38"/>
      <c r="F54" s="38"/>
      <c r="G54" s="38"/>
      <c r="H54" s="38"/>
      <c r="I54" s="38"/>
      <c r="J54" s="11"/>
      <c r="K54" s="11"/>
      <c r="L54" s="11"/>
      <c r="M54" s="11"/>
      <c r="N54" s="11"/>
      <c r="O54" s="11"/>
    </row>
    <row r="55" spans="1:15" ht="22.5" hidden="1" customHeight="1" outlineLevel="1">
      <c r="A55" s="9"/>
      <c r="B55" s="199" t="s">
        <v>413</v>
      </c>
      <c r="C55" s="114"/>
      <c r="D55" s="114"/>
      <c r="E55" s="114"/>
      <c r="F55" s="114"/>
      <c r="G55" s="114"/>
      <c r="H55" s="114"/>
      <c r="I55" s="103"/>
      <c r="J55" s="11"/>
      <c r="K55" s="11"/>
      <c r="L55" s="11"/>
      <c r="M55" s="11"/>
      <c r="N55" s="11"/>
      <c r="O55" s="11"/>
    </row>
    <row r="56" spans="1:15" ht="22.5" hidden="1" customHeight="1" outlineLevel="1">
      <c r="A56" s="9"/>
      <c r="B56" s="185"/>
      <c r="C56" s="114"/>
      <c r="D56" s="114"/>
      <c r="E56" s="114"/>
      <c r="F56" s="114"/>
      <c r="G56" s="114"/>
      <c r="H56" s="114"/>
      <c r="I56" s="103"/>
      <c r="J56" s="11"/>
      <c r="K56" s="11"/>
      <c r="L56" s="11"/>
      <c r="M56" s="11"/>
      <c r="N56" s="11"/>
      <c r="O56" s="11"/>
    </row>
    <row r="57" spans="1:15" ht="22.5" hidden="1" customHeight="1" outlineLevel="1">
      <c r="A57" s="9"/>
      <c r="B57" s="185"/>
      <c r="C57" s="114"/>
      <c r="D57" s="114"/>
      <c r="E57" s="114"/>
      <c r="F57" s="114"/>
      <c r="G57" s="114"/>
      <c r="H57" s="114"/>
      <c r="I57" s="103"/>
      <c r="J57" s="11"/>
      <c r="K57" s="11"/>
      <c r="L57" s="11"/>
      <c r="M57" s="11"/>
      <c r="N57" s="11"/>
      <c r="O57" s="11"/>
    </row>
    <row r="58" spans="1:15" ht="22.5" hidden="1" customHeight="1" outlineLevel="1">
      <c r="A58" s="9"/>
      <c r="B58" s="98"/>
      <c r="C58" s="99"/>
      <c r="D58" s="99"/>
      <c r="E58" s="99"/>
      <c r="F58" s="99"/>
      <c r="G58" s="99"/>
      <c r="H58" s="99"/>
      <c r="I58" s="99"/>
      <c r="J58" s="11"/>
      <c r="K58" s="11"/>
      <c r="L58" s="11"/>
      <c r="M58" s="11"/>
      <c r="N58" s="11"/>
      <c r="O58" s="11"/>
    </row>
    <row r="59" spans="1:15" ht="22.5" customHeight="1">
      <c r="A59" s="9"/>
      <c r="B59" s="97"/>
      <c r="C59" s="38"/>
      <c r="D59" s="38"/>
      <c r="E59" s="38"/>
      <c r="F59" s="38"/>
      <c r="G59" s="38"/>
      <c r="H59" s="38"/>
      <c r="I59" s="38"/>
      <c r="J59" s="11"/>
      <c r="K59" s="11"/>
      <c r="L59" s="11"/>
      <c r="M59" s="11"/>
      <c r="N59" s="11"/>
      <c r="O59" s="11"/>
    </row>
    <row r="60" spans="1:15" ht="22.5" customHeight="1">
      <c r="A60" s="9"/>
      <c r="B60" s="97"/>
      <c r="C60" s="38"/>
      <c r="D60" s="38"/>
      <c r="E60" s="38"/>
      <c r="F60" s="38"/>
      <c r="G60" s="38"/>
      <c r="H60" s="38"/>
      <c r="I60" s="38"/>
      <c r="J60" s="11"/>
      <c r="K60" s="11"/>
      <c r="L60" s="11"/>
      <c r="M60" s="11"/>
      <c r="N60" s="11"/>
      <c r="O60" s="11"/>
    </row>
    <row r="61" spans="1:15" ht="22.5" customHeight="1">
      <c r="A61" s="9"/>
      <c r="B61" s="97"/>
      <c r="C61" s="38"/>
      <c r="D61" s="38"/>
      <c r="E61" s="38"/>
      <c r="F61" s="38"/>
      <c r="G61" s="38"/>
      <c r="H61" s="38"/>
      <c r="I61" s="38"/>
      <c r="J61" s="11"/>
      <c r="K61" s="11"/>
      <c r="L61" s="11"/>
      <c r="M61" s="11"/>
      <c r="N61" s="11"/>
      <c r="O61" s="11"/>
    </row>
    <row r="62" spans="1:15" ht="22.5" customHeight="1">
      <c r="A62" s="9"/>
      <c r="B62" s="137" t="s">
        <v>414</v>
      </c>
      <c r="C62" s="114"/>
      <c r="D62" s="114"/>
      <c r="E62" s="114"/>
      <c r="F62" s="114"/>
      <c r="G62" s="114"/>
      <c r="H62" s="11"/>
      <c r="I62" s="11"/>
      <c r="J62" s="11"/>
      <c r="K62" s="11"/>
      <c r="L62" s="11"/>
      <c r="M62" s="11"/>
      <c r="N62" s="11"/>
      <c r="O62" s="11"/>
    </row>
    <row r="63" spans="1:15" ht="22.5" customHeight="1" collapsed="1">
      <c r="A63" s="9"/>
      <c r="B63" s="138" t="s">
        <v>155</v>
      </c>
      <c r="C63" s="114"/>
      <c r="D63" s="114"/>
      <c r="E63" s="114"/>
      <c r="F63" s="114"/>
      <c r="G63" s="114"/>
      <c r="H63" s="11"/>
      <c r="I63" s="11"/>
      <c r="J63" s="11"/>
      <c r="K63" s="11"/>
      <c r="L63" s="11"/>
      <c r="M63" s="11"/>
      <c r="N63" s="11"/>
      <c r="O63" s="11"/>
    </row>
    <row r="64" spans="1:15" ht="22.5" hidden="1" customHeight="1" outlineLevel="1">
      <c r="A64" s="9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22.5" hidden="1" customHeight="1" outlineLevel="1">
      <c r="A65" s="9"/>
      <c r="B65" s="211" t="s">
        <v>415</v>
      </c>
      <c r="C65" s="114"/>
      <c r="D65" s="114"/>
      <c r="E65" s="114"/>
      <c r="F65" s="114"/>
      <c r="G65" s="114"/>
      <c r="H65" s="114"/>
      <c r="I65" s="11"/>
      <c r="J65" s="11"/>
      <c r="K65" s="11"/>
      <c r="L65" s="11"/>
      <c r="M65" s="11"/>
      <c r="N65" s="11"/>
      <c r="O65" s="11"/>
    </row>
    <row r="66" spans="1:15" ht="22.5" hidden="1" customHeight="1" outlineLevel="1">
      <c r="A66" s="9"/>
      <c r="B66" s="212"/>
      <c r="C66" s="114"/>
      <c r="D66" s="114"/>
      <c r="E66" s="114"/>
      <c r="F66" s="114"/>
      <c r="G66" s="114"/>
      <c r="H66" s="114"/>
      <c r="I66" s="11"/>
      <c r="J66" s="11"/>
      <c r="K66" s="11"/>
      <c r="L66" s="11"/>
      <c r="M66" s="11"/>
      <c r="N66" s="11"/>
      <c r="O66" s="11"/>
    </row>
    <row r="67" spans="1:15" ht="22.5" hidden="1" customHeight="1" outlineLevel="1">
      <c r="A67" s="9"/>
      <c r="B67" s="212"/>
      <c r="C67" s="114"/>
      <c r="D67" s="114"/>
      <c r="E67" s="114"/>
      <c r="F67" s="114"/>
      <c r="G67" s="114"/>
      <c r="H67" s="114"/>
      <c r="I67" s="11"/>
      <c r="J67" s="11"/>
      <c r="K67" s="11"/>
      <c r="L67" s="11"/>
      <c r="M67" s="11"/>
      <c r="N67" s="11"/>
      <c r="O67" s="11"/>
    </row>
    <row r="68" spans="1:15" ht="22.5" hidden="1" customHeight="1" outlineLevel="1">
      <c r="A68" s="9"/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22.5" hidden="1" customHeight="1" outlineLevel="1">
      <c r="A69" s="9"/>
      <c r="B69" s="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22.5" customHeight="1">
      <c r="A70" s="9"/>
      <c r="B70" s="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</sheetData>
  <mergeCells count="90">
    <mergeCell ref="B55:H57"/>
    <mergeCell ref="B62:G62"/>
    <mergeCell ref="B63:G63"/>
    <mergeCell ref="B65:H67"/>
    <mergeCell ref="C26:C27"/>
    <mergeCell ref="D26:G27"/>
    <mergeCell ref="H26:K27"/>
    <mergeCell ref="L26:N27"/>
    <mergeCell ref="D28:G29"/>
    <mergeCell ref="L28:N29"/>
    <mergeCell ref="H28:K29"/>
    <mergeCell ref="A30:N30"/>
    <mergeCell ref="D31:G32"/>
    <mergeCell ref="H31:K32"/>
    <mergeCell ref="L31:N32"/>
    <mergeCell ref="C22:C23"/>
    <mergeCell ref="D22:G23"/>
    <mergeCell ref="H22:K23"/>
    <mergeCell ref="L22:N23"/>
    <mergeCell ref="D24:G25"/>
    <mergeCell ref="H24:K25"/>
    <mergeCell ref="L24:N25"/>
    <mergeCell ref="C24:C25"/>
    <mergeCell ref="A21:N21"/>
    <mergeCell ref="A12:N12"/>
    <mergeCell ref="D13:G14"/>
    <mergeCell ref="H13:K14"/>
    <mergeCell ref="L13:N14"/>
    <mergeCell ref="D15:G16"/>
    <mergeCell ref="H15:K16"/>
    <mergeCell ref="L15:N16"/>
    <mergeCell ref="C19:C20"/>
    <mergeCell ref="A49:N49"/>
    <mergeCell ref="B52:G52"/>
    <mergeCell ref="B53:G53"/>
    <mergeCell ref="E3:N6"/>
    <mergeCell ref="E7:E8"/>
    <mergeCell ref="F7:G8"/>
    <mergeCell ref="I7:I8"/>
    <mergeCell ref="J7:J8"/>
    <mergeCell ref="L7:L8"/>
    <mergeCell ref="M7:N8"/>
    <mergeCell ref="D17:G18"/>
    <mergeCell ref="H17:K18"/>
    <mergeCell ref="L17:N18"/>
    <mergeCell ref="D19:G20"/>
    <mergeCell ref="H19:K20"/>
    <mergeCell ref="L19:N20"/>
    <mergeCell ref="A44:N44"/>
    <mergeCell ref="H45:K46"/>
    <mergeCell ref="L45:N46"/>
    <mergeCell ref="D45:G46"/>
    <mergeCell ref="D47:G48"/>
    <mergeCell ref="H47:K48"/>
    <mergeCell ref="L47:N48"/>
    <mergeCell ref="L38:N39"/>
    <mergeCell ref="H40:K41"/>
    <mergeCell ref="L40:N41"/>
    <mergeCell ref="D40:G41"/>
    <mergeCell ref="D42:G43"/>
    <mergeCell ref="H42:K43"/>
    <mergeCell ref="L42:N43"/>
    <mergeCell ref="D33:G34"/>
    <mergeCell ref="H33:K34"/>
    <mergeCell ref="L33:N34"/>
    <mergeCell ref="D35:G36"/>
    <mergeCell ref="L35:N36"/>
    <mergeCell ref="H35:K36"/>
    <mergeCell ref="C28:C29"/>
    <mergeCell ref="C42:C43"/>
    <mergeCell ref="C45:C46"/>
    <mergeCell ref="A22:B29"/>
    <mergeCell ref="A31:B36"/>
    <mergeCell ref="C35:C36"/>
    <mergeCell ref="A38:B43"/>
    <mergeCell ref="C38:C39"/>
    <mergeCell ref="C40:C41"/>
    <mergeCell ref="A45:B48"/>
    <mergeCell ref="C47:C48"/>
    <mergeCell ref="C31:C32"/>
    <mergeCell ref="C33:C34"/>
    <mergeCell ref="A37:N37"/>
    <mergeCell ref="D38:G39"/>
    <mergeCell ref="H38:K39"/>
    <mergeCell ref="A3:C8"/>
    <mergeCell ref="A11:C11"/>
    <mergeCell ref="A13:C14"/>
    <mergeCell ref="A15:B20"/>
    <mergeCell ref="C15:C16"/>
    <mergeCell ref="C17:C18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63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4" max="4" width="10.42578125" customWidth="1"/>
    <col min="6" max="6" width="15.140625" customWidth="1"/>
    <col min="15" max="15" width="16.28515625" customWidth="1"/>
    <col min="16" max="17" width="13.1406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</row>
    <row r="3" spans="1:17" ht="12.75">
      <c r="A3" s="113"/>
      <c r="B3" s="114"/>
      <c r="C3" s="114"/>
      <c r="D3" s="6"/>
      <c r="E3" s="115" t="s">
        <v>416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7"/>
      <c r="Q3" s="1"/>
    </row>
    <row r="4" spans="1:17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9"/>
      <c r="Q4" s="1"/>
    </row>
    <row r="5" spans="1:17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9"/>
      <c r="Q5" s="1"/>
    </row>
    <row r="6" spans="1:17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2"/>
      <c r="Q6" s="1"/>
    </row>
    <row r="7" spans="1:17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14"/>
      <c r="O7" s="135"/>
      <c r="P7" s="1"/>
      <c r="Q7" s="1"/>
    </row>
    <row r="8" spans="1:17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1"/>
      <c r="O8" s="112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5"/>
    </row>
    <row r="12" spans="1:17" ht="44.25" customHeight="1">
      <c r="A12" s="147" t="s">
        <v>417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96"/>
    </row>
    <row r="13" spans="1:17" ht="22.5" customHeight="1">
      <c r="A13" s="219" t="s">
        <v>418</v>
      </c>
      <c r="B13" s="114"/>
      <c r="C13" s="119"/>
      <c r="D13" s="218" t="s">
        <v>419</v>
      </c>
      <c r="E13" s="114"/>
      <c r="F13" s="220" t="s">
        <v>420</v>
      </c>
      <c r="G13" s="218" t="s">
        <v>421</v>
      </c>
      <c r="H13" s="119"/>
      <c r="I13" s="218" t="s">
        <v>5</v>
      </c>
      <c r="J13" s="119"/>
      <c r="K13" s="218" t="s">
        <v>422</v>
      </c>
      <c r="L13" s="114"/>
      <c r="M13" s="218" t="s">
        <v>423</v>
      </c>
      <c r="N13" s="218" t="s">
        <v>424</v>
      </c>
      <c r="O13" s="114"/>
      <c r="P13" s="114"/>
      <c r="Q13" s="11"/>
    </row>
    <row r="14" spans="1:17" ht="22.5" customHeight="1">
      <c r="A14" s="114"/>
      <c r="B14" s="114"/>
      <c r="C14" s="119"/>
      <c r="D14" s="118"/>
      <c r="E14" s="114"/>
      <c r="F14" s="221"/>
      <c r="G14" s="118"/>
      <c r="H14" s="119"/>
      <c r="I14" s="118"/>
      <c r="J14" s="119"/>
      <c r="K14" s="118"/>
      <c r="L14" s="114"/>
      <c r="M14" s="118"/>
      <c r="N14" s="118"/>
      <c r="O14" s="114"/>
      <c r="P14" s="114"/>
      <c r="Q14" s="11"/>
    </row>
    <row r="15" spans="1:17" ht="22.5" customHeight="1">
      <c r="A15" s="215" t="s">
        <v>425</v>
      </c>
      <c r="B15" s="114"/>
      <c r="C15" s="135"/>
      <c r="D15" s="182" t="s">
        <v>426</v>
      </c>
      <c r="E15" s="114"/>
      <c r="F15" s="213" t="s">
        <v>216</v>
      </c>
      <c r="G15" s="182" t="s">
        <v>427</v>
      </c>
      <c r="H15" s="135"/>
      <c r="I15" s="182" t="s">
        <v>428</v>
      </c>
      <c r="J15" s="135"/>
      <c r="K15" s="182" t="s">
        <v>429</v>
      </c>
      <c r="L15" s="135"/>
      <c r="M15" s="214">
        <v>3.2000000000000001E-2</v>
      </c>
      <c r="N15" s="182" t="s">
        <v>430</v>
      </c>
      <c r="O15" s="114"/>
      <c r="P15" s="135"/>
      <c r="Q15" s="11"/>
    </row>
    <row r="16" spans="1:17" ht="22.5" customHeight="1">
      <c r="A16" s="110"/>
      <c r="B16" s="111"/>
      <c r="C16" s="112"/>
      <c r="D16" s="110"/>
      <c r="E16" s="111"/>
      <c r="F16" s="106"/>
      <c r="G16" s="110"/>
      <c r="H16" s="112"/>
      <c r="I16" s="110"/>
      <c r="J16" s="112"/>
      <c r="K16" s="110"/>
      <c r="L16" s="112"/>
      <c r="M16" s="106"/>
      <c r="N16" s="110"/>
      <c r="O16" s="111"/>
      <c r="P16" s="112"/>
      <c r="Q16" s="11"/>
    </row>
    <row r="17" spans="1:17" ht="22.5" customHeight="1">
      <c r="A17" s="215" t="s">
        <v>431</v>
      </c>
      <c r="B17" s="114"/>
      <c r="C17" s="135"/>
      <c r="D17" s="182" t="s">
        <v>432</v>
      </c>
      <c r="E17" s="114"/>
      <c r="F17" s="213" t="s">
        <v>216</v>
      </c>
      <c r="G17" s="182" t="s">
        <v>433</v>
      </c>
      <c r="H17" s="135"/>
      <c r="I17" s="191" t="s">
        <v>434</v>
      </c>
      <c r="J17" s="135"/>
      <c r="K17" s="182" t="s">
        <v>435</v>
      </c>
      <c r="L17" s="135"/>
      <c r="M17" s="214">
        <v>8.9999999999999993E-3</v>
      </c>
      <c r="N17" s="182" t="s">
        <v>436</v>
      </c>
      <c r="O17" s="114"/>
      <c r="P17" s="135"/>
      <c r="Q17" s="11"/>
    </row>
    <row r="18" spans="1:17" ht="22.5" customHeight="1">
      <c r="A18" s="110"/>
      <c r="B18" s="111"/>
      <c r="C18" s="112"/>
      <c r="D18" s="110"/>
      <c r="E18" s="111"/>
      <c r="F18" s="106"/>
      <c r="G18" s="110"/>
      <c r="H18" s="112"/>
      <c r="I18" s="110"/>
      <c r="J18" s="112"/>
      <c r="K18" s="110"/>
      <c r="L18" s="112"/>
      <c r="M18" s="106"/>
      <c r="N18" s="110"/>
      <c r="O18" s="111"/>
      <c r="P18" s="112"/>
      <c r="Q18" s="11"/>
    </row>
    <row r="19" spans="1:17" ht="22.5" customHeight="1">
      <c r="A19" s="215" t="s">
        <v>437</v>
      </c>
      <c r="B19" s="114"/>
      <c r="C19" s="135"/>
      <c r="D19" s="182" t="s">
        <v>438</v>
      </c>
      <c r="E19" s="114"/>
      <c r="F19" s="213" t="s">
        <v>211</v>
      </c>
      <c r="G19" s="182" t="s">
        <v>439</v>
      </c>
      <c r="H19" s="135"/>
      <c r="I19" s="182" t="s">
        <v>440</v>
      </c>
      <c r="J19" s="135"/>
      <c r="K19" s="182" t="s">
        <v>441</v>
      </c>
      <c r="L19" s="135"/>
      <c r="M19" s="214">
        <v>2.8000000000000001E-2</v>
      </c>
      <c r="N19" s="182" t="s">
        <v>442</v>
      </c>
      <c r="O19" s="114"/>
      <c r="P19" s="135"/>
      <c r="Q19" s="11"/>
    </row>
    <row r="20" spans="1:17" ht="22.5" customHeight="1">
      <c r="A20" s="110"/>
      <c r="B20" s="111"/>
      <c r="C20" s="112"/>
      <c r="D20" s="110"/>
      <c r="E20" s="111"/>
      <c r="F20" s="106"/>
      <c r="G20" s="110"/>
      <c r="H20" s="112"/>
      <c r="I20" s="110"/>
      <c r="J20" s="112"/>
      <c r="K20" s="110"/>
      <c r="L20" s="112"/>
      <c r="M20" s="106"/>
      <c r="N20" s="110"/>
      <c r="O20" s="111"/>
      <c r="P20" s="112"/>
      <c r="Q20" s="11"/>
    </row>
    <row r="21" spans="1:17" ht="22.5" customHeight="1">
      <c r="A21" s="215" t="s">
        <v>443</v>
      </c>
      <c r="B21" s="114"/>
      <c r="C21" s="135"/>
      <c r="D21" s="182" t="s">
        <v>444</v>
      </c>
      <c r="E21" s="114"/>
      <c r="F21" s="213" t="s">
        <v>211</v>
      </c>
      <c r="G21" s="182" t="s">
        <v>439</v>
      </c>
      <c r="H21" s="135"/>
      <c r="I21" s="182" t="s">
        <v>445</v>
      </c>
      <c r="J21" s="135"/>
      <c r="K21" s="182" t="s">
        <v>446</v>
      </c>
      <c r="L21" s="135"/>
      <c r="M21" s="214">
        <v>4.4999999999999998E-2</v>
      </c>
      <c r="N21" s="182" t="s">
        <v>447</v>
      </c>
      <c r="O21" s="114"/>
      <c r="P21" s="135"/>
      <c r="Q21" s="11"/>
    </row>
    <row r="22" spans="1:17" ht="22.5" customHeight="1">
      <c r="A22" s="110"/>
      <c r="B22" s="111"/>
      <c r="C22" s="112"/>
      <c r="D22" s="110"/>
      <c r="E22" s="111"/>
      <c r="F22" s="106"/>
      <c r="G22" s="110"/>
      <c r="H22" s="112"/>
      <c r="I22" s="110"/>
      <c r="J22" s="112"/>
      <c r="K22" s="110"/>
      <c r="L22" s="112"/>
      <c r="M22" s="106"/>
      <c r="N22" s="110"/>
      <c r="O22" s="111"/>
      <c r="P22" s="112"/>
      <c r="Q22" s="11"/>
    </row>
    <row r="23" spans="1:17" ht="22.5" customHeight="1">
      <c r="A23" s="215" t="s">
        <v>448</v>
      </c>
      <c r="B23" s="114"/>
      <c r="C23" s="135"/>
      <c r="D23" s="182" t="s">
        <v>449</v>
      </c>
      <c r="E23" s="114"/>
      <c r="F23" s="213" t="s">
        <v>188</v>
      </c>
      <c r="G23" s="182" t="s">
        <v>439</v>
      </c>
      <c r="H23" s="135"/>
      <c r="I23" s="191" t="s">
        <v>450</v>
      </c>
      <c r="J23" s="135"/>
      <c r="K23" s="182" t="s">
        <v>451</v>
      </c>
      <c r="L23" s="135"/>
      <c r="M23" s="214">
        <v>1.4999999999999999E-2</v>
      </c>
      <c r="N23" s="182" t="s">
        <v>452</v>
      </c>
      <c r="O23" s="114"/>
      <c r="P23" s="135"/>
      <c r="Q23" s="11"/>
    </row>
    <row r="24" spans="1:17" ht="22.5" customHeight="1">
      <c r="A24" s="110"/>
      <c r="B24" s="111"/>
      <c r="C24" s="112"/>
      <c r="D24" s="110"/>
      <c r="E24" s="111"/>
      <c r="F24" s="106"/>
      <c r="G24" s="110"/>
      <c r="H24" s="112"/>
      <c r="I24" s="110"/>
      <c r="J24" s="112"/>
      <c r="K24" s="110"/>
      <c r="L24" s="112"/>
      <c r="M24" s="106"/>
      <c r="N24" s="110"/>
      <c r="O24" s="111"/>
      <c r="P24" s="112"/>
      <c r="Q24" s="11"/>
    </row>
    <row r="25" spans="1:17" ht="22.5" customHeight="1">
      <c r="A25" s="216" t="s">
        <v>453</v>
      </c>
      <c r="B25" s="114"/>
      <c r="C25" s="135"/>
      <c r="D25" s="181" t="s">
        <v>138</v>
      </c>
      <c r="E25" s="114"/>
      <c r="F25" s="213" t="s">
        <v>188</v>
      </c>
      <c r="G25" s="182" t="s">
        <v>454</v>
      </c>
      <c r="H25" s="135"/>
      <c r="I25" s="182" t="s">
        <v>455</v>
      </c>
      <c r="J25" s="135"/>
      <c r="K25" s="182" t="s">
        <v>456</v>
      </c>
      <c r="L25" s="135"/>
      <c r="M25" s="214">
        <v>8.0000000000000002E-3</v>
      </c>
      <c r="N25" s="182" t="s">
        <v>457</v>
      </c>
      <c r="O25" s="114"/>
      <c r="P25" s="135"/>
      <c r="Q25" s="13"/>
    </row>
    <row r="26" spans="1:17" ht="22.5" customHeight="1">
      <c r="A26" s="110"/>
      <c r="B26" s="111"/>
      <c r="C26" s="112"/>
      <c r="D26" s="110"/>
      <c r="E26" s="111"/>
      <c r="F26" s="106"/>
      <c r="G26" s="110"/>
      <c r="H26" s="112"/>
      <c r="I26" s="110"/>
      <c r="J26" s="112"/>
      <c r="K26" s="110"/>
      <c r="L26" s="112"/>
      <c r="M26" s="106"/>
      <c r="N26" s="110"/>
      <c r="O26" s="111"/>
      <c r="P26" s="112"/>
      <c r="Q26" s="13"/>
    </row>
    <row r="27" spans="1:17" ht="22.5" customHeight="1">
      <c r="A27" s="216" t="s">
        <v>458</v>
      </c>
      <c r="B27" s="114"/>
      <c r="C27" s="135"/>
      <c r="D27" s="181" t="s">
        <v>459</v>
      </c>
      <c r="E27" s="114"/>
      <c r="F27" s="213" t="s">
        <v>188</v>
      </c>
      <c r="G27" s="182" t="s">
        <v>460</v>
      </c>
      <c r="H27" s="135"/>
      <c r="I27" s="182" t="s">
        <v>461</v>
      </c>
      <c r="J27" s="135"/>
      <c r="K27" s="182" t="s">
        <v>462</v>
      </c>
      <c r="L27" s="135"/>
      <c r="M27" s="217" t="s">
        <v>141</v>
      </c>
      <c r="N27" s="182" t="s">
        <v>463</v>
      </c>
      <c r="O27" s="114"/>
      <c r="P27" s="135"/>
      <c r="Q27" s="13"/>
    </row>
    <row r="28" spans="1:17" ht="22.5" customHeight="1">
      <c r="A28" s="110"/>
      <c r="B28" s="111"/>
      <c r="C28" s="112"/>
      <c r="D28" s="110"/>
      <c r="E28" s="111"/>
      <c r="F28" s="106"/>
      <c r="G28" s="110"/>
      <c r="H28" s="112"/>
      <c r="I28" s="110"/>
      <c r="J28" s="112"/>
      <c r="K28" s="110"/>
      <c r="L28" s="112"/>
      <c r="M28" s="106"/>
      <c r="N28" s="110"/>
      <c r="O28" s="111"/>
      <c r="P28" s="112"/>
      <c r="Q28" s="13"/>
    </row>
    <row r="29" spans="1:17" ht="22.5" customHeight="1">
      <c r="A29" s="216"/>
      <c r="B29" s="114"/>
      <c r="C29" s="135"/>
      <c r="D29" s="181"/>
      <c r="E29" s="114"/>
      <c r="F29" s="213"/>
      <c r="G29" s="182"/>
      <c r="H29" s="135"/>
      <c r="I29" s="182"/>
      <c r="J29" s="135"/>
      <c r="K29" s="182"/>
      <c r="L29" s="135"/>
      <c r="M29" s="217"/>
      <c r="N29" s="182"/>
      <c r="O29" s="114"/>
      <c r="P29" s="135"/>
      <c r="Q29" s="13"/>
    </row>
    <row r="30" spans="1:17" ht="22.5" customHeight="1">
      <c r="A30" s="110"/>
      <c r="B30" s="111"/>
      <c r="C30" s="112"/>
      <c r="D30" s="110"/>
      <c r="E30" s="111"/>
      <c r="F30" s="106"/>
      <c r="G30" s="110"/>
      <c r="H30" s="112"/>
      <c r="I30" s="110"/>
      <c r="J30" s="112"/>
      <c r="K30" s="110"/>
      <c r="L30" s="112"/>
      <c r="M30" s="106"/>
      <c r="N30" s="110"/>
      <c r="O30" s="111"/>
      <c r="P30" s="112"/>
      <c r="Q30" s="13"/>
    </row>
    <row r="31" spans="1:17" ht="22.5" customHeight="1">
      <c r="A31" s="216"/>
      <c r="B31" s="114"/>
      <c r="C31" s="135"/>
      <c r="D31" s="181"/>
      <c r="E31" s="114"/>
      <c r="F31" s="213"/>
      <c r="G31" s="182"/>
      <c r="H31" s="135"/>
      <c r="I31" s="182"/>
      <c r="J31" s="135"/>
      <c r="K31" s="182"/>
      <c r="L31" s="135"/>
      <c r="M31" s="217"/>
      <c r="N31" s="182"/>
      <c r="O31" s="114"/>
      <c r="P31" s="135"/>
      <c r="Q31" s="13"/>
    </row>
    <row r="32" spans="1:17" ht="22.5" customHeight="1">
      <c r="A32" s="110"/>
      <c r="B32" s="111"/>
      <c r="C32" s="112"/>
      <c r="D32" s="110"/>
      <c r="E32" s="111"/>
      <c r="F32" s="106"/>
      <c r="G32" s="110"/>
      <c r="H32" s="112"/>
      <c r="I32" s="110"/>
      <c r="J32" s="112"/>
      <c r="K32" s="110"/>
      <c r="L32" s="112"/>
      <c r="M32" s="106"/>
      <c r="N32" s="110"/>
      <c r="O32" s="111"/>
      <c r="P32" s="112"/>
      <c r="Q32" s="13"/>
    </row>
    <row r="33" spans="1:17" ht="22.5" customHeight="1">
      <c r="A33" s="216"/>
      <c r="B33" s="114"/>
      <c r="C33" s="135"/>
      <c r="D33" s="181"/>
      <c r="E33" s="114"/>
      <c r="F33" s="213"/>
      <c r="G33" s="182"/>
      <c r="H33" s="135"/>
      <c r="I33" s="182"/>
      <c r="J33" s="135"/>
      <c r="K33" s="182"/>
      <c r="L33" s="135"/>
      <c r="M33" s="217"/>
      <c r="N33" s="182"/>
      <c r="O33" s="114"/>
      <c r="P33" s="135"/>
      <c r="Q33" s="13"/>
    </row>
    <row r="34" spans="1:17" ht="22.5" customHeight="1">
      <c r="A34" s="110"/>
      <c r="B34" s="111"/>
      <c r="C34" s="112"/>
      <c r="D34" s="110"/>
      <c r="E34" s="111"/>
      <c r="F34" s="106"/>
      <c r="G34" s="110"/>
      <c r="H34" s="112"/>
      <c r="I34" s="110"/>
      <c r="J34" s="112"/>
      <c r="K34" s="110"/>
      <c r="L34" s="112"/>
      <c r="M34" s="106"/>
      <c r="N34" s="110"/>
      <c r="O34" s="111"/>
      <c r="P34" s="112"/>
      <c r="Q34" s="13"/>
    </row>
    <row r="35" spans="1:17" ht="22.5" customHeight="1">
      <c r="A35" s="216"/>
      <c r="B35" s="114"/>
      <c r="C35" s="135"/>
      <c r="D35" s="181"/>
      <c r="E35" s="114"/>
      <c r="F35" s="213"/>
      <c r="G35" s="182"/>
      <c r="H35" s="135"/>
      <c r="I35" s="182"/>
      <c r="J35" s="135"/>
      <c r="K35" s="182"/>
      <c r="L35" s="135"/>
      <c r="M35" s="217"/>
      <c r="N35" s="182"/>
      <c r="O35" s="114"/>
      <c r="P35" s="135"/>
      <c r="Q35" s="13"/>
    </row>
    <row r="36" spans="1:17" ht="22.5" customHeight="1">
      <c r="A36" s="110"/>
      <c r="B36" s="111"/>
      <c r="C36" s="112"/>
      <c r="D36" s="110"/>
      <c r="E36" s="111"/>
      <c r="F36" s="106"/>
      <c r="G36" s="110"/>
      <c r="H36" s="112"/>
      <c r="I36" s="110"/>
      <c r="J36" s="112"/>
      <c r="K36" s="110"/>
      <c r="L36" s="112"/>
      <c r="M36" s="106"/>
      <c r="N36" s="110"/>
      <c r="O36" s="111"/>
      <c r="P36" s="112"/>
      <c r="Q36" s="13"/>
    </row>
    <row r="37" spans="1:17" ht="22.5" customHeight="1">
      <c r="A37" s="216"/>
      <c r="B37" s="114"/>
      <c r="C37" s="135"/>
      <c r="D37" s="181"/>
      <c r="E37" s="114"/>
      <c r="F37" s="213"/>
      <c r="G37" s="182"/>
      <c r="H37" s="135"/>
      <c r="I37" s="182"/>
      <c r="J37" s="135"/>
      <c r="K37" s="182"/>
      <c r="L37" s="135"/>
      <c r="M37" s="217"/>
      <c r="N37" s="182"/>
      <c r="O37" s="114"/>
      <c r="P37" s="135"/>
      <c r="Q37" s="13"/>
    </row>
    <row r="38" spans="1:17" ht="22.5" customHeight="1">
      <c r="A38" s="110"/>
      <c r="B38" s="111"/>
      <c r="C38" s="112"/>
      <c r="D38" s="110"/>
      <c r="E38" s="111"/>
      <c r="F38" s="106"/>
      <c r="G38" s="110"/>
      <c r="H38" s="112"/>
      <c r="I38" s="110"/>
      <c r="J38" s="112"/>
      <c r="K38" s="110"/>
      <c r="L38" s="112"/>
      <c r="M38" s="106"/>
      <c r="N38" s="110"/>
      <c r="O38" s="111"/>
      <c r="P38" s="112"/>
      <c r="Q38" s="13"/>
    </row>
    <row r="39" spans="1:17" ht="22.5" customHeight="1">
      <c r="A39" s="216"/>
      <c r="B39" s="114"/>
      <c r="C39" s="135"/>
      <c r="D39" s="181"/>
      <c r="E39" s="114"/>
      <c r="F39" s="213"/>
      <c r="G39" s="182"/>
      <c r="H39" s="135"/>
      <c r="I39" s="182"/>
      <c r="J39" s="135"/>
      <c r="K39" s="182"/>
      <c r="L39" s="135"/>
      <c r="M39" s="217"/>
      <c r="N39" s="182"/>
      <c r="O39" s="114"/>
      <c r="P39" s="135"/>
      <c r="Q39" s="13"/>
    </row>
    <row r="40" spans="1:17" ht="22.5" customHeight="1">
      <c r="A40" s="110"/>
      <c r="B40" s="111"/>
      <c r="C40" s="112"/>
      <c r="D40" s="110"/>
      <c r="E40" s="111"/>
      <c r="F40" s="106"/>
      <c r="G40" s="110"/>
      <c r="H40" s="112"/>
      <c r="I40" s="110"/>
      <c r="J40" s="112"/>
      <c r="K40" s="110"/>
      <c r="L40" s="112"/>
      <c r="M40" s="106"/>
      <c r="N40" s="110"/>
      <c r="O40" s="111"/>
      <c r="P40" s="112"/>
      <c r="Q40" s="13"/>
    </row>
    <row r="41" spans="1:17" ht="22.5" customHeight="1">
      <c r="A41" s="101"/>
      <c r="B41" s="101"/>
      <c r="C41" s="101"/>
      <c r="D41" s="101"/>
      <c r="E41" s="102"/>
      <c r="F41" s="102"/>
      <c r="G41" s="100"/>
      <c r="H41" s="100"/>
      <c r="I41" s="100"/>
      <c r="J41" s="100"/>
      <c r="K41" s="101"/>
      <c r="L41" s="101"/>
      <c r="M41" s="101"/>
      <c r="N41" s="101"/>
      <c r="O41" s="101"/>
      <c r="P41" s="13"/>
      <c r="Q41" s="13"/>
    </row>
    <row r="42" spans="1:17" ht="22.5" customHeight="1">
      <c r="A42" s="101"/>
      <c r="B42" s="101"/>
      <c r="C42" s="101"/>
      <c r="D42" s="101"/>
      <c r="E42" s="102"/>
      <c r="F42" s="102"/>
      <c r="G42" s="100"/>
      <c r="H42" s="100"/>
      <c r="I42" s="100"/>
      <c r="J42" s="100"/>
      <c r="K42" s="101"/>
      <c r="L42" s="101"/>
      <c r="M42" s="101"/>
      <c r="N42" s="101"/>
      <c r="O42" s="101"/>
      <c r="P42" s="13"/>
      <c r="Q42" s="13"/>
    </row>
    <row r="43" spans="1:17" ht="22.5" customHeight="1">
      <c r="A43" s="101"/>
      <c r="B43" s="101"/>
      <c r="C43" s="101"/>
      <c r="D43" s="101"/>
      <c r="E43" s="102"/>
      <c r="F43" s="102"/>
      <c r="G43" s="100"/>
      <c r="H43" s="100"/>
      <c r="I43" s="100"/>
      <c r="J43" s="100"/>
      <c r="K43" s="101"/>
      <c r="L43" s="101"/>
      <c r="M43" s="101"/>
      <c r="N43" s="101"/>
      <c r="O43" s="101"/>
      <c r="P43" s="13"/>
      <c r="Q43" s="13"/>
    </row>
    <row r="44" spans="1:17" ht="22.5" customHeight="1">
      <c r="A44" s="9"/>
      <c r="B44" s="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22.5" customHeight="1">
      <c r="A45" s="9"/>
      <c r="B45" s="137" t="s">
        <v>464</v>
      </c>
      <c r="C45" s="114"/>
      <c r="D45" s="114"/>
      <c r="E45" s="114"/>
      <c r="F45" s="114"/>
      <c r="G45" s="114"/>
      <c r="H45" s="38"/>
      <c r="I45" s="38"/>
      <c r="J45" s="11"/>
      <c r="K45" s="11"/>
      <c r="L45" s="11"/>
      <c r="M45" s="11"/>
      <c r="N45" s="11"/>
      <c r="O45" s="11"/>
      <c r="P45" s="11"/>
      <c r="Q45" s="11"/>
    </row>
    <row r="46" spans="1:17" ht="22.5" customHeight="1" collapsed="1">
      <c r="A46" s="9"/>
      <c r="B46" s="138" t="s">
        <v>155</v>
      </c>
      <c r="C46" s="114"/>
      <c r="D46" s="114"/>
      <c r="E46" s="114"/>
      <c r="F46" s="114"/>
      <c r="G46" s="114"/>
      <c r="H46" s="38"/>
      <c r="I46" s="38"/>
      <c r="J46" s="11"/>
      <c r="K46" s="11"/>
      <c r="L46" s="11"/>
      <c r="M46" s="11"/>
      <c r="N46" s="11"/>
      <c r="O46" s="11"/>
      <c r="P46" s="11"/>
      <c r="Q46" s="11"/>
    </row>
    <row r="47" spans="1:17" ht="22.5" hidden="1" customHeight="1" outlineLevel="1">
      <c r="A47" s="9"/>
      <c r="B47" s="97"/>
      <c r="C47" s="38"/>
      <c r="D47" s="38"/>
      <c r="E47" s="38"/>
      <c r="F47" s="38"/>
      <c r="G47" s="38"/>
      <c r="H47" s="38"/>
      <c r="I47" s="38"/>
      <c r="J47" s="11"/>
      <c r="K47" s="11"/>
      <c r="L47" s="11"/>
      <c r="M47" s="11"/>
      <c r="N47" s="11"/>
      <c r="O47" s="11"/>
      <c r="P47" s="11"/>
      <c r="Q47" s="11"/>
    </row>
    <row r="48" spans="1:17" ht="22.5" hidden="1" customHeight="1" outlineLevel="1">
      <c r="A48" s="9"/>
      <c r="B48" s="184" t="s">
        <v>465</v>
      </c>
      <c r="C48" s="114"/>
      <c r="D48" s="114"/>
      <c r="E48" s="114"/>
      <c r="F48" s="114"/>
      <c r="G48" s="114"/>
      <c r="H48" s="103"/>
      <c r="I48" s="103"/>
      <c r="J48" s="11"/>
      <c r="K48" s="11"/>
      <c r="L48" s="11"/>
      <c r="M48" s="11"/>
      <c r="N48" s="11"/>
      <c r="O48" s="11"/>
      <c r="P48" s="11"/>
      <c r="Q48" s="11"/>
    </row>
    <row r="49" spans="1:17" ht="22.5" hidden="1" customHeight="1" outlineLevel="1">
      <c r="A49" s="9"/>
      <c r="B49" s="185"/>
      <c r="C49" s="114"/>
      <c r="D49" s="114"/>
      <c r="E49" s="114"/>
      <c r="F49" s="114"/>
      <c r="G49" s="114"/>
      <c r="H49" s="103"/>
      <c r="I49" s="103"/>
      <c r="J49" s="11"/>
      <c r="K49" s="11"/>
      <c r="L49" s="11"/>
      <c r="M49" s="11"/>
      <c r="N49" s="11"/>
      <c r="O49" s="11"/>
      <c r="P49" s="11"/>
      <c r="Q49" s="11"/>
    </row>
    <row r="50" spans="1:17" ht="22.5" hidden="1" customHeight="1" outlineLevel="1">
      <c r="A50" s="9"/>
      <c r="B50" s="98"/>
      <c r="C50" s="99"/>
      <c r="D50" s="99"/>
      <c r="E50" s="99"/>
      <c r="F50" s="99"/>
      <c r="G50" s="99"/>
      <c r="H50" s="99"/>
      <c r="I50" s="99"/>
      <c r="J50" s="11"/>
      <c r="K50" s="11"/>
      <c r="L50" s="11"/>
      <c r="M50" s="11"/>
      <c r="N50" s="11"/>
      <c r="O50" s="11"/>
      <c r="P50" s="11"/>
      <c r="Q50" s="11"/>
    </row>
    <row r="51" spans="1:17" ht="22.5" customHeight="1">
      <c r="A51" s="9"/>
      <c r="B51" s="97"/>
      <c r="C51" s="38"/>
      <c r="D51" s="38"/>
      <c r="E51" s="38"/>
      <c r="F51" s="38"/>
      <c r="G51" s="38"/>
      <c r="H51" s="38"/>
      <c r="I51" s="38"/>
      <c r="J51" s="11"/>
      <c r="K51" s="11"/>
      <c r="L51" s="11"/>
      <c r="M51" s="11"/>
      <c r="N51" s="11"/>
      <c r="O51" s="11"/>
      <c r="P51" s="11"/>
      <c r="Q51" s="11"/>
    </row>
    <row r="52" spans="1:17" ht="22.5" customHeight="1">
      <c r="A52" s="9"/>
      <c r="B52" s="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22.5" customHeight="1">
      <c r="A53" s="9"/>
      <c r="B53" s="137" t="s">
        <v>466</v>
      </c>
      <c r="C53" s="114"/>
      <c r="D53" s="114"/>
      <c r="E53" s="114"/>
      <c r="F53" s="114"/>
      <c r="G53" s="114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22.5" customHeight="1" collapsed="1">
      <c r="A54" s="9"/>
      <c r="B54" s="138" t="s">
        <v>155</v>
      </c>
      <c r="C54" s="114"/>
      <c r="D54" s="114"/>
      <c r="E54" s="114"/>
      <c r="F54" s="114"/>
      <c r="G54" s="114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22.5" hidden="1" customHeight="1" outlineLevel="1">
      <c r="A55" s="9"/>
      <c r="B55" s="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22.5" hidden="1" customHeight="1" outlineLevel="1">
      <c r="A56" s="9"/>
      <c r="B56" s="184" t="s">
        <v>467</v>
      </c>
      <c r="C56" s="114"/>
      <c r="D56" s="114"/>
      <c r="E56" s="114"/>
      <c r="F56" s="114"/>
      <c r="G56" s="114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22.5" hidden="1" customHeight="1" outlineLevel="1">
      <c r="A57" s="9"/>
      <c r="B57" s="185"/>
      <c r="C57" s="114"/>
      <c r="D57" s="114"/>
      <c r="E57" s="114"/>
      <c r="F57" s="114"/>
      <c r="G57" s="114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22.5" hidden="1" customHeight="1" outlineLevel="1">
      <c r="A58" s="9"/>
      <c r="B58" s="185"/>
      <c r="C58" s="114"/>
      <c r="D58" s="114"/>
      <c r="E58" s="114"/>
      <c r="F58" s="114"/>
      <c r="G58" s="114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22.5" hidden="1" customHeight="1" outlineLevel="1">
      <c r="A59" s="9"/>
      <c r="B59" s="185"/>
      <c r="C59" s="114"/>
      <c r="D59" s="114"/>
      <c r="E59" s="114"/>
      <c r="F59" s="114"/>
      <c r="G59" s="114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22.5" hidden="1" customHeight="1" outlineLevel="1">
      <c r="A60" s="9"/>
      <c r="B60" s="185"/>
      <c r="C60" s="114"/>
      <c r="D60" s="114"/>
      <c r="E60" s="114"/>
      <c r="F60" s="114"/>
      <c r="G60" s="114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22.5" hidden="1" customHeight="1" outlineLevel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22.5" customHeight="1">
      <c r="A62" s="9"/>
      <c r="B62" s="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22.5" customHeight="1">
      <c r="A63" s="9"/>
      <c r="B63" s="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</sheetData>
  <mergeCells count="128">
    <mergeCell ref="B45:G45"/>
    <mergeCell ref="B46:G46"/>
    <mergeCell ref="B48:G49"/>
    <mergeCell ref="B53:G53"/>
    <mergeCell ref="B54:G54"/>
    <mergeCell ref="B56:G60"/>
    <mergeCell ref="M37:M38"/>
    <mergeCell ref="N37:P38"/>
    <mergeCell ref="A39:C40"/>
    <mergeCell ref="D39:E40"/>
    <mergeCell ref="F39:F40"/>
    <mergeCell ref="G39:H40"/>
    <mergeCell ref="I39:J40"/>
    <mergeCell ref="N39:P40"/>
    <mergeCell ref="A15:C16"/>
    <mergeCell ref="A17:C18"/>
    <mergeCell ref="D17:E18"/>
    <mergeCell ref="F17:F18"/>
    <mergeCell ref="G17:H18"/>
    <mergeCell ref="I17:J18"/>
    <mergeCell ref="K17:L18"/>
    <mergeCell ref="K39:L40"/>
    <mergeCell ref="M39:M40"/>
    <mergeCell ref="D15:E16"/>
    <mergeCell ref="F15:F16"/>
    <mergeCell ref="G15:H16"/>
    <mergeCell ref="I15:J16"/>
    <mergeCell ref="K15:L16"/>
    <mergeCell ref="M15:M16"/>
    <mergeCell ref="N15:P16"/>
    <mergeCell ref="M17:M18"/>
    <mergeCell ref="N17:P18"/>
    <mergeCell ref="E3:P6"/>
    <mergeCell ref="E7:E8"/>
    <mergeCell ref="F7:G8"/>
    <mergeCell ref="I7:I8"/>
    <mergeCell ref="J7:J8"/>
    <mergeCell ref="L7:L8"/>
    <mergeCell ref="M7:O8"/>
    <mergeCell ref="A12:P12"/>
    <mergeCell ref="K13:L14"/>
    <mergeCell ref="M13:M14"/>
    <mergeCell ref="N13:P14"/>
    <mergeCell ref="A3:C8"/>
    <mergeCell ref="A11:C11"/>
    <mergeCell ref="A13:C14"/>
    <mergeCell ref="D13:E14"/>
    <mergeCell ref="F13:F14"/>
    <mergeCell ref="G13:H14"/>
    <mergeCell ref="I13:J14"/>
    <mergeCell ref="D35:E36"/>
    <mergeCell ref="F35:F36"/>
    <mergeCell ref="G35:H36"/>
    <mergeCell ref="I35:J36"/>
    <mergeCell ref="K35:L36"/>
    <mergeCell ref="M35:M36"/>
    <mergeCell ref="N35:P36"/>
    <mergeCell ref="A35:C36"/>
    <mergeCell ref="A37:C38"/>
    <mergeCell ref="D37:E38"/>
    <mergeCell ref="F37:F38"/>
    <mergeCell ref="G37:H38"/>
    <mergeCell ref="I37:J38"/>
    <mergeCell ref="K37:L38"/>
    <mergeCell ref="M33:M34"/>
    <mergeCell ref="N33:P34"/>
    <mergeCell ref="A31:C32"/>
    <mergeCell ref="A33:C34"/>
    <mergeCell ref="D33:E34"/>
    <mergeCell ref="F33:F34"/>
    <mergeCell ref="G33:H34"/>
    <mergeCell ref="I33:J34"/>
    <mergeCell ref="K33:L34"/>
    <mergeCell ref="K31:L32"/>
    <mergeCell ref="M31:M32"/>
    <mergeCell ref="M29:M30"/>
    <mergeCell ref="N29:P30"/>
    <mergeCell ref="D31:E32"/>
    <mergeCell ref="F31:F32"/>
    <mergeCell ref="G31:H32"/>
    <mergeCell ref="I31:J32"/>
    <mergeCell ref="N31:P32"/>
    <mergeCell ref="D27:E28"/>
    <mergeCell ref="F27:F28"/>
    <mergeCell ref="G27:H28"/>
    <mergeCell ref="I27:J28"/>
    <mergeCell ref="K27:L28"/>
    <mergeCell ref="M27:M28"/>
    <mergeCell ref="N27:P28"/>
    <mergeCell ref="A27:C28"/>
    <mergeCell ref="A29:C30"/>
    <mergeCell ref="D29:E30"/>
    <mergeCell ref="F29:F30"/>
    <mergeCell ref="G29:H30"/>
    <mergeCell ref="I29:J30"/>
    <mergeCell ref="K29:L30"/>
    <mergeCell ref="M25:M26"/>
    <mergeCell ref="N25:P26"/>
    <mergeCell ref="A23:C24"/>
    <mergeCell ref="A25:C26"/>
    <mergeCell ref="D25:E26"/>
    <mergeCell ref="F25:F26"/>
    <mergeCell ref="G25:H26"/>
    <mergeCell ref="I25:J26"/>
    <mergeCell ref="K25:L26"/>
    <mergeCell ref="K23:L24"/>
    <mergeCell ref="M23:M24"/>
    <mergeCell ref="M21:M22"/>
    <mergeCell ref="N21:P22"/>
    <mergeCell ref="D23:E24"/>
    <mergeCell ref="F23:F24"/>
    <mergeCell ref="G23:H24"/>
    <mergeCell ref="I23:J24"/>
    <mergeCell ref="N23:P24"/>
    <mergeCell ref="D19:E20"/>
    <mergeCell ref="F19:F20"/>
    <mergeCell ref="G19:H20"/>
    <mergeCell ref="I19:J20"/>
    <mergeCell ref="K19:L20"/>
    <mergeCell ref="M19:M20"/>
    <mergeCell ref="N19:P20"/>
    <mergeCell ref="A19:C20"/>
    <mergeCell ref="A21:C22"/>
    <mergeCell ref="D21:E22"/>
    <mergeCell ref="F21:F22"/>
    <mergeCell ref="G21:H22"/>
    <mergeCell ref="I21:J22"/>
    <mergeCell ref="K21:L22"/>
  </mergeCells>
  <dataValidations count="2">
    <dataValidation type="list" allowBlank="1" showErrorMessage="1" sqref="M7" xr:uid="{00000000-0002-0000-0600-000000000000}">
      <formula1>"Finalizado,Em produção,Pendente"</formula1>
    </dataValidation>
    <dataValidation type="list" allowBlank="1" showErrorMessage="1" sqref="F15 F17 F19 F21 F23 F25 F27 F29 F31 F33 F35 F37 F39" xr:uid="{00000000-0002-0000-0600-000001000000}">
      <formula1>"Topo,Meio,Fundo"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82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0" max="10" width="3.28515625" customWidth="1"/>
    <col min="14" max="14" width="13.42578125" customWidth="1"/>
    <col min="15" max="17" width="13.1406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13"/>
      <c r="B3" s="114"/>
      <c r="C3" s="114"/>
      <c r="D3" s="6"/>
      <c r="E3" s="115" t="s">
        <v>468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7"/>
      <c r="Q3" s="1"/>
    </row>
    <row r="4" spans="1:17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9"/>
      <c r="Q4" s="1"/>
    </row>
    <row r="5" spans="1:17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9"/>
      <c r="Q5" s="1"/>
    </row>
    <row r="6" spans="1:17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2"/>
      <c r="Q6" s="1"/>
    </row>
    <row r="7" spans="1:17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"/>
      <c r="P7" s="1"/>
      <c r="Q7" s="1"/>
    </row>
    <row r="8" spans="1:17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1"/>
    </row>
    <row r="12" spans="1:17" ht="44.25" customHeight="1">
      <c r="A12" s="147" t="s">
        <v>469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1"/>
    </row>
    <row r="13" spans="1:17" ht="22.5" customHeight="1">
      <c r="A13" s="188" t="s">
        <v>418</v>
      </c>
      <c r="B13" s="114"/>
      <c r="C13" s="114"/>
      <c r="D13" s="208" t="s">
        <v>470</v>
      </c>
      <c r="E13" s="114"/>
      <c r="F13" s="119"/>
      <c r="G13" s="208" t="s">
        <v>471</v>
      </c>
      <c r="H13" s="222" t="s">
        <v>472</v>
      </c>
      <c r="I13" s="114"/>
      <c r="J13" s="114"/>
      <c r="K13" s="222" t="s">
        <v>473</v>
      </c>
      <c r="L13" s="114"/>
      <c r="M13" s="222" t="s">
        <v>5</v>
      </c>
      <c r="N13" s="114"/>
      <c r="O13" s="222" t="s">
        <v>422</v>
      </c>
      <c r="P13" s="114"/>
      <c r="Q13" s="1"/>
    </row>
    <row r="14" spans="1:17" ht="22.5" customHeight="1">
      <c r="A14" s="114"/>
      <c r="B14" s="114"/>
      <c r="C14" s="114"/>
      <c r="D14" s="118"/>
      <c r="E14" s="114"/>
      <c r="F14" s="119"/>
      <c r="G14" s="118"/>
      <c r="H14" s="118"/>
      <c r="I14" s="114"/>
      <c r="J14" s="114"/>
      <c r="K14" s="118"/>
      <c r="L14" s="114"/>
      <c r="M14" s="118"/>
      <c r="N14" s="114"/>
      <c r="O14" s="118"/>
      <c r="P14" s="114"/>
      <c r="Q14" s="1"/>
    </row>
    <row r="15" spans="1:17" ht="22.5" customHeight="1">
      <c r="A15" s="200" t="s">
        <v>474</v>
      </c>
      <c r="B15" s="114"/>
      <c r="C15" s="114"/>
      <c r="D15" s="182" t="s">
        <v>475</v>
      </c>
      <c r="E15" s="114"/>
      <c r="F15" s="135"/>
      <c r="G15" s="182" t="s">
        <v>476</v>
      </c>
      <c r="H15" s="181" t="s">
        <v>477</v>
      </c>
      <c r="I15" s="114"/>
      <c r="J15" s="135"/>
      <c r="K15" s="181" t="s">
        <v>478</v>
      </c>
      <c r="L15" s="135"/>
      <c r="M15" s="181" t="s">
        <v>479</v>
      </c>
      <c r="N15" s="135"/>
      <c r="O15" s="181" t="s">
        <v>480</v>
      </c>
      <c r="P15" s="135"/>
      <c r="Q15" s="100"/>
    </row>
    <row r="16" spans="1:17" ht="22.5" customHeight="1">
      <c r="A16" s="201"/>
      <c r="B16" s="114"/>
      <c r="C16" s="114"/>
      <c r="D16" s="110"/>
      <c r="E16" s="111"/>
      <c r="F16" s="112"/>
      <c r="G16" s="110"/>
      <c r="H16" s="110"/>
      <c r="I16" s="111"/>
      <c r="J16" s="112"/>
      <c r="K16" s="110"/>
      <c r="L16" s="112"/>
      <c r="M16" s="110"/>
      <c r="N16" s="112"/>
      <c r="O16" s="110"/>
      <c r="P16" s="112"/>
      <c r="Q16" s="100"/>
    </row>
    <row r="17" spans="1:17" ht="22.5" customHeight="1">
      <c r="A17" s="201"/>
      <c r="B17" s="114"/>
      <c r="C17" s="114"/>
      <c r="D17" s="182" t="s">
        <v>481</v>
      </c>
      <c r="E17" s="114"/>
      <c r="F17" s="135"/>
      <c r="G17" s="217" t="s">
        <v>482</v>
      </c>
      <c r="H17" s="181" t="s">
        <v>483</v>
      </c>
      <c r="I17" s="114"/>
      <c r="J17" s="135"/>
      <c r="K17" s="223" t="s">
        <v>484</v>
      </c>
      <c r="L17" s="135"/>
      <c r="M17" s="223" t="s">
        <v>485</v>
      </c>
      <c r="N17" s="114"/>
      <c r="O17" s="181" t="s">
        <v>486</v>
      </c>
      <c r="P17" s="135"/>
      <c r="Q17" s="100"/>
    </row>
    <row r="18" spans="1:17" ht="22.5" customHeight="1">
      <c r="A18" s="201"/>
      <c r="B18" s="114"/>
      <c r="C18" s="114"/>
      <c r="D18" s="110"/>
      <c r="E18" s="111"/>
      <c r="F18" s="112"/>
      <c r="G18" s="106"/>
      <c r="H18" s="110"/>
      <c r="I18" s="111"/>
      <c r="J18" s="112"/>
      <c r="K18" s="110"/>
      <c r="L18" s="112"/>
      <c r="M18" s="110"/>
      <c r="N18" s="111"/>
      <c r="O18" s="110"/>
      <c r="P18" s="112"/>
      <c r="Q18" s="100"/>
    </row>
    <row r="19" spans="1:17" ht="22.5" customHeight="1">
      <c r="A19" s="201"/>
      <c r="B19" s="114"/>
      <c r="C19" s="114"/>
      <c r="D19" s="182" t="s">
        <v>487</v>
      </c>
      <c r="E19" s="114"/>
      <c r="F19" s="135"/>
      <c r="G19" s="217" t="s">
        <v>488</v>
      </c>
      <c r="H19" s="182" t="s">
        <v>489</v>
      </c>
      <c r="I19" s="114"/>
      <c r="J19" s="114"/>
      <c r="K19" s="182" t="s">
        <v>490</v>
      </c>
      <c r="L19" s="114"/>
      <c r="M19" s="182" t="s">
        <v>491</v>
      </c>
      <c r="N19" s="114"/>
      <c r="O19" s="181" t="s">
        <v>492</v>
      </c>
      <c r="P19" s="135"/>
      <c r="Q19" s="100"/>
    </row>
    <row r="20" spans="1:17" ht="22.5" customHeight="1">
      <c r="A20" s="201"/>
      <c r="B20" s="114"/>
      <c r="C20" s="114"/>
      <c r="D20" s="110"/>
      <c r="E20" s="111"/>
      <c r="F20" s="112"/>
      <c r="G20" s="106"/>
      <c r="H20" s="110"/>
      <c r="I20" s="111"/>
      <c r="J20" s="111"/>
      <c r="K20" s="110"/>
      <c r="L20" s="111"/>
      <c r="M20" s="110"/>
      <c r="N20" s="111"/>
      <c r="O20" s="110"/>
      <c r="P20" s="112"/>
      <c r="Q20" s="100"/>
    </row>
    <row r="21" spans="1:17" ht="22.5" customHeight="1">
      <c r="A21" s="201"/>
      <c r="B21" s="114"/>
      <c r="C21" s="114"/>
      <c r="D21" s="182" t="s">
        <v>493</v>
      </c>
      <c r="E21" s="114"/>
      <c r="F21" s="135"/>
      <c r="G21" s="217" t="s">
        <v>494</v>
      </c>
      <c r="H21" s="181" t="s">
        <v>495</v>
      </c>
      <c r="I21" s="114"/>
      <c r="J21" s="135"/>
      <c r="K21" s="182" t="s">
        <v>496</v>
      </c>
      <c r="L21" s="114"/>
      <c r="M21" s="181" t="s">
        <v>497</v>
      </c>
      <c r="N21" s="135"/>
      <c r="O21" s="181" t="s">
        <v>498</v>
      </c>
      <c r="P21" s="135"/>
      <c r="Q21" s="100"/>
    </row>
    <row r="22" spans="1:17" ht="22.5" customHeight="1">
      <c r="A22" s="201"/>
      <c r="B22" s="114"/>
      <c r="C22" s="114"/>
      <c r="D22" s="110"/>
      <c r="E22" s="111"/>
      <c r="F22" s="112"/>
      <c r="G22" s="106"/>
      <c r="H22" s="110"/>
      <c r="I22" s="111"/>
      <c r="J22" s="112"/>
      <c r="K22" s="110"/>
      <c r="L22" s="111"/>
      <c r="M22" s="110"/>
      <c r="N22" s="112"/>
      <c r="O22" s="110"/>
      <c r="P22" s="112"/>
      <c r="Q22" s="100"/>
    </row>
    <row r="23" spans="1:17" ht="22.5" customHeight="1">
      <c r="A23" s="201"/>
      <c r="B23" s="114"/>
      <c r="C23" s="114"/>
      <c r="D23" s="182" t="s">
        <v>499</v>
      </c>
      <c r="E23" s="114"/>
      <c r="F23" s="135"/>
      <c r="G23" s="217" t="s">
        <v>500</v>
      </c>
      <c r="H23" s="181" t="s">
        <v>501</v>
      </c>
      <c r="I23" s="114"/>
      <c r="J23" s="135"/>
      <c r="K23" s="182" t="s">
        <v>502</v>
      </c>
      <c r="L23" s="114"/>
      <c r="M23" s="181" t="s">
        <v>503</v>
      </c>
      <c r="N23" s="135"/>
      <c r="O23" s="181" t="s">
        <v>504</v>
      </c>
      <c r="P23" s="135"/>
      <c r="Q23" s="100"/>
    </row>
    <row r="24" spans="1:17" ht="22.5" customHeight="1">
      <c r="A24" s="202"/>
      <c r="B24" s="111"/>
      <c r="C24" s="111"/>
      <c r="D24" s="110"/>
      <c r="E24" s="111"/>
      <c r="F24" s="112"/>
      <c r="G24" s="106"/>
      <c r="H24" s="110"/>
      <c r="I24" s="111"/>
      <c r="J24" s="112"/>
      <c r="K24" s="110"/>
      <c r="L24" s="111"/>
      <c r="M24" s="110"/>
      <c r="N24" s="112"/>
      <c r="O24" s="110"/>
      <c r="P24" s="112"/>
      <c r="Q24" s="100"/>
    </row>
    <row r="25" spans="1:17" ht="13.5" customHeight="1">
      <c r="A25" s="206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207"/>
      <c r="Q25" s="11"/>
    </row>
    <row r="26" spans="1:17" ht="22.5" customHeight="1">
      <c r="A26" s="200" t="s">
        <v>505</v>
      </c>
      <c r="B26" s="114"/>
      <c r="C26" s="114"/>
      <c r="D26" s="182" t="s">
        <v>506</v>
      </c>
      <c r="E26" s="114"/>
      <c r="F26" s="135"/>
      <c r="G26" s="182" t="s">
        <v>476</v>
      </c>
      <c r="H26" s="181" t="s">
        <v>507</v>
      </c>
      <c r="I26" s="114"/>
      <c r="J26" s="135"/>
      <c r="K26" s="181" t="s">
        <v>508</v>
      </c>
      <c r="L26" s="135"/>
      <c r="M26" s="181" t="s">
        <v>479</v>
      </c>
      <c r="N26" s="135"/>
      <c r="O26" s="181" t="s">
        <v>480</v>
      </c>
      <c r="P26" s="135"/>
      <c r="Q26" s="100"/>
    </row>
    <row r="27" spans="1:17" ht="22.5" customHeight="1">
      <c r="A27" s="201"/>
      <c r="B27" s="114"/>
      <c r="C27" s="114"/>
      <c r="D27" s="110"/>
      <c r="E27" s="111"/>
      <c r="F27" s="112"/>
      <c r="G27" s="110"/>
      <c r="H27" s="110"/>
      <c r="I27" s="111"/>
      <c r="J27" s="112"/>
      <c r="K27" s="110"/>
      <c r="L27" s="112"/>
      <c r="M27" s="110"/>
      <c r="N27" s="112"/>
      <c r="O27" s="110"/>
      <c r="P27" s="112"/>
      <c r="Q27" s="100"/>
    </row>
    <row r="28" spans="1:17" ht="22.5" customHeight="1">
      <c r="A28" s="201"/>
      <c r="B28" s="114"/>
      <c r="C28" s="114"/>
      <c r="D28" s="182" t="s">
        <v>509</v>
      </c>
      <c r="E28" s="114"/>
      <c r="F28" s="135"/>
      <c r="G28" s="217" t="s">
        <v>482</v>
      </c>
      <c r="H28" s="181" t="s">
        <v>510</v>
      </c>
      <c r="I28" s="114"/>
      <c r="J28" s="135"/>
      <c r="K28" s="223" t="s">
        <v>511</v>
      </c>
      <c r="L28" s="135"/>
      <c r="M28" s="223" t="s">
        <v>485</v>
      </c>
      <c r="N28" s="114"/>
      <c r="O28" s="181" t="s">
        <v>486</v>
      </c>
      <c r="P28" s="135"/>
      <c r="Q28" s="100"/>
    </row>
    <row r="29" spans="1:17" ht="22.5" customHeight="1">
      <c r="A29" s="201"/>
      <c r="B29" s="114"/>
      <c r="C29" s="114"/>
      <c r="D29" s="110"/>
      <c r="E29" s="111"/>
      <c r="F29" s="112"/>
      <c r="G29" s="106"/>
      <c r="H29" s="110"/>
      <c r="I29" s="111"/>
      <c r="J29" s="112"/>
      <c r="K29" s="110"/>
      <c r="L29" s="112"/>
      <c r="M29" s="110"/>
      <c r="N29" s="111"/>
      <c r="O29" s="110"/>
      <c r="P29" s="112"/>
      <c r="Q29" s="100"/>
    </row>
    <row r="30" spans="1:17" ht="22.5" customHeight="1">
      <c r="A30" s="201"/>
      <c r="B30" s="114"/>
      <c r="C30" s="114"/>
      <c r="D30" s="182" t="s">
        <v>512</v>
      </c>
      <c r="E30" s="114"/>
      <c r="F30" s="135"/>
      <c r="G30" s="217" t="s">
        <v>488</v>
      </c>
      <c r="H30" s="182" t="s">
        <v>513</v>
      </c>
      <c r="I30" s="114"/>
      <c r="J30" s="114"/>
      <c r="K30" s="182" t="s">
        <v>514</v>
      </c>
      <c r="L30" s="114"/>
      <c r="M30" s="182" t="s">
        <v>491</v>
      </c>
      <c r="N30" s="114"/>
      <c r="O30" s="181" t="s">
        <v>492</v>
      </c>
      <c r="P30" s="135"/>
      <c r="Q30" s="100"/>
    </row>
    <row r="31" spans="1:17" ht="22.5" customHeight="1">
      <c r="A31" s="201"/>
      <c r="B31" s="114"/>
      <c r="C31" s="114"/>
      <c r="D31" s="110"/>
      <c r="E31" s="111"/>
      <c r="F31" s="112"/>
      <c r="G31" s="106"/>
      <c r="H31" s="110"/>
      <c r="I31" s="111"/>
      <c r="J31" s="111"/>
      <c r="K31" s="110"/>
      <c r="L31" s="111"/>
      <c r="M31" s="110"/>
      <c r="N31" s="111"/>
      <c r="O31" s="110"/>
      <c r="P31" s="112"/>
      <c r="Q31" s="100"/>
    </row>
    <row r="32" spans="1:17" ht="22.5" customHeight="1">
      <c r="A32" s="201"/>
      <c r="B32" s="114"/>
      <c r="C32" s="114"/>
      <c r="D32" s="182" t="s">
        <v>515</v>
      </c>
      <c r="E32" s="114"/>
      <c r="F32" s="135"/>
      <c r="G32" s="217" t="s">
        <v>494</v>
      </c>
      <c r="H32" s="181" t="s">
        <v>516</v>
      </c>
      <c r="I32" s="114"/>
      <c r="J32" s="135"/>
      <c r="K32" s="182" t="s">
        <v>490</v>
      </c>
      <c r="L32" s="114"/>
      <c r="M32" s="181" t="s">
        <v>497</v>
      </c>
      <c r="N32" s="135"/>
      <c r="O32" s="181" t="s">
        <v>498</v>
      </c>
      <c r="P32" s="135"/>
      <c r="Q32" s="100"/>
    </row>
    <row r="33" spans="1:17" ht="22.5" customHeight="1">
      <c r="A33" s="201"/>
      <c r="B33" s="114"/>
      <c r="C33" s="114"/>
      <c r="D33" s="110"/>
      <c r="E33" s="111"/>
      <c r="F33" s="112"/>
      <c r="G33" s="106"/>
      <c r="H33" s="110"/>
      <c r="I33" s="111"/>
      <c r="J33" s="112"/>
      <c r="K33" s="110"/>
      <c r="L33" s="111"/>
      <c r="M33" s="110"/>
      <c r="N33" s="112"/>
      <c r="O33" s="110"/>
      <c r="P33" s="112"/>
      <c r="Q33" s="100"/>
    </row>
    <row r="34" spans="1:17" ht="21.75" customHeight="1">
      <c r="A34" s="201"/>
      <c r="B34" s="114"/>
      <c r="C34" s="114"/>
      <c r="D34" s="182" t="s">
        <v>517</v>
      </c>
      <c r="E34" s="114"/>
      <c r="F34" s="135"/>
      <c r="G34" s="217"/>
      <c r="H34" s="181" t="s">
        <v>518</v>
      </c>
      <c r="I34" s="114"/>
      <c r="J34" s="135"/>
      <c r="K34" s="182" t="s">
        <v>519</v>
      </c>
      <c r="L34" s="114"/>
      <c r="M34" s="181" t="s">
        <v>520</v>
      </c>
      <c r="N34" s="135"/>
      <c r="O34" s="181" t="s">
        <v>521</v>
      </c>
      <c r="P34" s="135"/>
      <c r="Q34" s="100"/>
    </row>
    <row r="35" spans="1:17" ht="22.5" customHeight="1">
      <c r="A35" s="202"/>
      <c r="B35" s="111"/>
      <c r="C35" s="111"/>
      <c r="D35" s="110"/>
      <c r="E35" s="111"/>
      <c r="F35" s="112"/>
      <c r="G35" s="106"/>
      <c r="H35" s="110"/>
      <c r="I35" s="111"/>
      <c r="J35" s="112"/>
      <c r="K35" s="110"/>
      <c r="L35" s="111"/>
      <c r="M35" s="110"/>
      <c r="N35" s="112"/>
      <c r="O35" s="110"/>
      <c r="P35" s="112"/>
      <c r="Q35" s="100"/>
    </row>
    <row r="36" spans="1:17" ht="16.5" customHeight="1">
      <c r="A36" s="206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207"/>
      <c r="Q36" s="13"/>
    </row>
    <row r="37" spans="1:17" ht="22.5" customHeight="1">
      <c r="A37" s="200" t="s">
        <v>522</v>
      </c>
      <c r="B37" s="114"/>
      <c r="C37" s="114"/>
      <c r="D37" s="182" t="s">
        <v>523</v>
      </c>
      <c r="E37" s="114"/>
      <c r="F37" s="135"/>
      <c r="G37" s="182" t="s">
        <v>476</v>
      </c>
      <c r="H37" s="181" t="s">
        <v>524</v>
      </c>
      <c r="I37" s="114"/>
      <c r="J37" s="135"/>
      <c r="K37" s="181" t="s">
        <v>525</v>
      </c>
      <c r="L37" s="135"/>
      <c r="M37" s="181" t="s">
        <v>526</v>
      </c>
      <c r="N37" s="135"/>
      <c r="O37" s="181" t="s">
        <v>527</v>
      </c>
      <c r="P37" s="135"/>
      <c r="Q37" s="13"/>
    </row>
    <row r="38" spans="1:17" ht="22.5" customHeight="1">
      <c r="A38" s="201"/>
      <c r="B38" s="114"/>
      <c r="C38" s="114"/>
      <c r="D38" s="110"/>
      <c r="E38" s="111"/>
      <c r="F38" s="112"/>
      <c r="G38" s="110"/>
      <c r="H38" s="110"/>
      <c r="I38" s="111"/>
      <c r="J38" s="112"/>
      <c r="K38" s="110"/>
      <c r="L38" s="112"/>
      <c r="M38" s="110"/>
      <c r="N38" s="112"/>
      <c r="O38" s="110"/>
      <c r="P38" s="112"/>
      <c r="Q38" s="13"/>
    </row>
    <row r="39" spans="1:17" ht="22.5" customHeight="1">
      <c r="A39" s="201"/>
      <c r="B39" s="114"/>
      <c r="C39" s="114"/>
      <c r="D39" s="182" t="s">
        <v>528</v>
      </c>
      <c r="E39" s="114"/>
      <c r="F39" s="135"/>
      <c r="G39" s="217" t="s">
        <v>529</v>
      </c>
      <c r="H39" s="181" t="s">
        <v>530</v>
      </c>
      <c r="I39" s="114"/>
      <c r="J39" s="135"/>
      <c r="K39" s="223" t="s">
        <v>531</v>
      </c>
      <c r="L39" s="135"/>
      <c r="M39" s="223" t="s">
        <v>532</v>
      </c>
      <c r="N39" s="114"/>
      <c r="O39" s="181" t="s">
        <v>533</v>
      </c>
      <c r="P39" s="135"/>
      <c r="Q39" s="11"/>
    </row>
    <row r="40" spans="1:17" ht="22.5" customHeight="1">
      <c r="A40" s="201"/>
      <c r="B40" s="114"/>
      <c r="C40" s="114"/>
      <c r="D40" s="110"/>
      <c r="E40" s="111"/>
      <c r="F40" s="112"/>
      <c r="G40" s="106"/>
      <c r="H40" s="110"/>
      <c r="I40" s="111"/>
      <c r="J40" s="112"/>
      <c r="K40" s="110"/>
      <c r="L40" s="112"/>
      <c r="M40" s="110"/>
      <c r="N40" s="111"/>
      <c r="O40" s="110"/>
      <c r="P40" s="112"/>
      <c r="Q40" s="11"/>
    </row>
    <row r="41" spans="1:17" ht="18.75" customHeight="1">
      <c r="A41" s="201"/>
      <c r="B41" s="114"/>
      <c r="C41" s="114"/>
      <c r="D41" s="182" t="s">
        <v>534</v>
      </c>
      <c r="E41" s="114"/>
      <c r="F41" s="135"/>
      <c r="G41" s="217" t="s">
        <v>535</v>
      </c>
      <c r="H41" s="182" t="s">
        <v>536</v>
      </c>
      <c r="I41" s="114"/>
      <c r="J41" s="114"/>
      <c r="K41" s="182" t="s">
        <v>537</v>
      </c>
      <c r="L41" s="114"/>
      <c r="M41" s="182" t="s">
        <v>538</v>
      </c>
      <c r="N41" s="114"/>
      <c r="O41" s="181" t="s">
        <v>539</v>
      </c>
      <c r="P41" s="135"/>
      <c r="Q41" s="11"/>
    </row>
    <row r="42" spans="1:17" ht="22.5" customHeight="1">
      <c r="A42" s="201"/>
      <c r="B42" s="114"/>
      <c r="C42" s="114"/>
      <c r="D42" s="110"/>
      <c r="E42" s="111"/>
      <c r="F42" s="112"/>
      <c r="G42" s="106"/>
      <c r="H42" s="110"/>
      <c r="I42" s="111"/>
      <c r="J42" s="111"/>
      <c r="K42" s="110"/>
      <c r="L42" s="111"/>
      <c r="M42" s="110"/>
      <c r="N42" s="111"/>
      <c r="O42" s="110"/>
      <c r="P42" s="112"/>
      <c r="Q42" s="11"/>
    </row>
    <row r="43" spans="1:17" ht="22.5" customHeight="1">
      <c r="A43" s="201"/>
      <c r="B43" s="114"/>
      <c r="C43" s="114"/>
      <c r="D43" s="182" t="s">
        <v>540</v>
      </c>
      <c r="E43" s="114"/>
      <c r="F43" s="135"/>
      <c r="G43" s="217" t="s">
        <v>482</v>
      </c>
      <c r="H43" s="181" t="s">
        <v>541</v>
      </c>
      <c r="I43" s="114"/>
      <c r="J43" s="135"/>
      <c r="K43" s="182" t="s">
        <v>542</v>
      </c>
      <c r="L43" s="114"/>
      <c r="M43" s="181" t="s">
        <v>543</v>
      </c>
      <c r="N43" s="135"/>
      <c r="O43" s="181" t="s">
        <v>544</v>
      </c>
      <c r="P43" s="135"/>
      <c r="Q43" s="11"/>
    </row>
    <row r="44" spans="1:17" ht="22.5" customHeight="1">
      <c r="A44" s="201"/>
      <c r="B44" s="114"/>
      <c r="C44" s="114"/>
      <c r="D44" s="110"/>
      <c r="E44" s="111"/>
      <c r="F44" s="112"/>
      <c r="G44" s="106"/>
      <c r="H44" s="110"/>
      <c r="I44" s="111"/>
      <c r="J44" s="112"/>
      <c r="K44" s="110"/>
      <c r="L44" s="111"/>
      <c r="M44" s="110"/>
      <c r="N44" s="112"/>
      <c r="O44" s="110"/>
      <c r="P44" s="112"/>
      <c r="Q44" s="11"/>
    </row>
    <row r="45" spans="1:17" ht="22.5" customHeight="1">
      <c r="A45" s="201"/>
      <c r="B45" s="114"/>
      <c r="C45" s="114"/>
      <c r="D45" s="182" t="s">
        <v>545</v>
      </c>
      <c r="E45" s="114"/>
      <c r="F45" s="135"/>
      <c r="G45" s="217" t="s">
        <v>488</v>
      </c>
      <c r="H45" s="181" t="s">
        <v>546</v>
      </c>
      <c r="I45" s="114"/>
      <c r="J45" s="135"/>
      <c r="K45" s="182" t="s">
        <v>547</v>
      </c>
      <c r="L45" s="114"/>
      <c r="M45" s="181" t="s">
        <v>548</v>
      </c>
      <c r="N45" s="135"/>
      <c r="O45" s="181" t="s">
        <v>549</v>
      </c>
      <c r="P45" s="135"/>
      <c r="Q45" s="11"/>
    </row>
    <row r="46" spans="1:17" ht="22.5" customHeight="1">
      <c r="A46" s="202"/>
      <c r="B46" s="111"/>
      <c r="C46" s="111"/>
      <c r="D46" s="110"/>
      <c r="E46" s="111"/>
      <c r="F46" s="112"/>
      <c r="G46" s="106"/>
      <c r="H46" s="110"/>
      <c r="I46" s="111"/>
      <c r="J46" s="112"/>
      <c r="K46" s="110"/>
      <c r="L46" s="111"/>
      <c r="M46" s="110"/>
      <c r="N46" s="112"/>
      <c r="O46" s="110"/>
      <c r="P46" s="112"/>
      <c r="Q46" s="11"/>
    </row>
    <row r="47" spans="1:17" ht="12.75" customHeight="1">
      <c r="A47" s="206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207"/>
      <c r="Q47" s="11"/>
    </row>
    <row r="48" spans="1:17" ht="22.5" customHeight="1">
      <c r="A48" s="200"/>
      <c r="B48" s="114"/>
      <c r="C48" s="114"/>
      <c r="D48" s="182"/>
      <c r="E48" s="114"/>
      <c r="F48" s="135"/>
      <c r="G48" s="182"/>
      <c r="H48" s="181"/>
      <c r="I48" s="114"/>
      <c r="J48" s="135"/>
      <c r="K48" s="181"/>
      <c r="L48" s="135"/>
      <c r="M48" s="181"/>
      <c r="N48" s="135"/>
      <c r="O48" s="181"/>
      <c r="P48" s="135"/>
      <c r="Q48" s="11"/>
    </row>
    <row r="49" spans="1:17" ht="22.5" customHeight="1">
      <c r="A49" s="201"/>
      <c r="B49" s="114"/>
      <c r="C49" s="114"/>
      <c r="D49" s="110"/>
      <c r="E49" s="111"/>
      <c r="F49" s="112"/>
      <c r="G49" s="110"/>
      <c r="H49" s="110"/>
      <c r="I49" s="111"/>
      <c r="J49" s="112"/>
      <c r="K49" s="110"/>
      <c r="L49" s="112"/>
      <c r="M49" s="110"/>
      <c r="N49" s="112"/>
      <c r="O49" s="110"/>
      <c r="P49" s="112"/>
      <c r="Q49" s="11"/>
    </row>
    <row r="50" spans="1:17" ht="22.5" customHeight="1">
      <c r="A50" s="201"/>
      <c r="B50" s="114"/>
      <c r="C50" s="114"/>
      <c r="D50" s="182"/>
      <c r="E50" s="114"/>
      <c r="F50" s="135"/>
      <c r="G50" s="217"/>
      <c r="H50" s="181"/>
      <c r="I50" s="114"/>
      <c r="J50" s="135"/>
      <c r="K50" s="223"/>
      <c r="L50" s="135"/>
      <c r="M50" s="223"/>
      <c r="N50" s="114"/>
      <c r="O50" s="181"/>
      <c r="P50" s="135"/>
      <c r="Q50" s="11"/>
    </row>
    <row r="51" spans="1:17" ht="22.5" customHeight="1">
      <c r="A51" s="201"/>
      <c r="B51" s="114"/>
      <c r="C51" s="114"/>
      <c r="D51" s="110"/>
      <c r="E51" s="111"/>
      <c r="F51" s="112"/>
      <c r="G51" s="106"/>
      <c r="H51" s="110"/>
      <c r="I51" s="111"/>
      <c r="J51" s="112"/>
      <c r="K51" s="110"/>
      <c r="L51" s="112"/>
      <c r="M51" s="110"/>
      <c r="N51" s="111"/>
      <c r="O51" s="110"/>
      <c r="P51" s="112"/>
      <c r="Q51" s="11"/>
    </row>
    <row r="52" spans="1:17" ht="22.5" customHeight="1">
      <c r="A52" s="201"/>
      <c r="B52" s="114"/>
      <c r="C52" s="114"/>
      <c r="D52" s="182"/>
      <c r="E52" s="114"/>
      <c r="F52" s="135"/>
      <c r="G52" s="217"/>
      <c r="H52" s="182"/>
      <c r="I52" s="114"/>
      <c r="J52" s="114"/>
      <c r="K52" s="182"/>
      <c r="L52" s="114"/>
      <c r="M52" s="182"/>
      <c r="N52" s="114"/>
      <c r="O52" s="181"/>
      <c r="P52" s="135"/>
      <c r="Q52" s="11"/>
    </row>
    <row r="53" spans="1:17" ht="22.5" customHeight="1">
      <c r="A53" s="201"/>
      <c r="B53" s="114"/>
      <c r="C53" s="114"/>
      <c r="D53" s="110"/>
      <c r="E53" s="111"/>
      <c r="F53" s="112"/>
      <c r="G53" s="106"/>
      <c r="H53" s="110"/>
      <c r="I53" s="111"/>
      <c r="J53" s="111"/>
      <c r="K53" s="110"/>
      <c r="L53" s="111"/>
      <c r="M53" s="110"/>
      <c r="N53" s="111"/>
      <c r="O53" s="110"/>
      <c r="P53" s="112"/>
      <c r="Q53" s="11"/>
    </row>
    <row r="54" spans="1:17" ht="22.5" customHeight="1">
      <c r="A54" s="201"/>
      <c r="B54" s="114"/>
      <c r="C54" s="114"/>
      <c r="D54" s="182"/>
      <c r="E54" s="114"/>
      <c r="F54" s="135"/>
      <c r="G54" s="217"/>
      <c r="H54" s="181"/>
      <c r="I54" s="114"/>
      <c r="J54" s="135"/>
      <c r="K54" s="182"/>
      <c r="L54" s="114"/>
      <c r="M54" s="181"/>
      <c r="N54" s="135"/>
      <c r="O54" s="181"/>
      <c r="P54" s="135"/>
      <c r="Q54" s="11"/>
    </row>
    <row r="55" spans="1:17" ht="22.5" customHeight="1">
      <c r="A55" s="201"/>
      <c r="B55" s="114"/>
      <c r="C55" s="114"/>
      <c r="D55" s="110"/>
      <c r="E55" s="111"/>
      <c r="F55" s="112"/>
      <c r="G55" s="106"/>
      <c r="H55" s="110"/>
      <c r="I55" s="111"/>
      <c r="J55" s="112"/>
      <c r="K55" s="110"/>
      <c r="L55" s="111"/>
      <c r="M55" s="110"/>
      <c r="N55" s="112"/>
      <c r="O55" s="110"/>
      <c r="P55" s="112"/>
      <c r="Q55" s="11"/>
    </row>
    <row r="56" spans="1:17" ht="22.5" customHeight="1">
      <c r="A56" s="201"/>
      <c r="B56" s="114"/>
      <c r="C56" s="114"/>
      <c r="D56" s="182"/>
      <c r="E56" s="114"/>
      <c r="F56" s="135"/>
      <c r="G56" s="217"/>
      <c r="H56" s="181"/>
      <c r="I56" s="114"/>
      <c r="J56" s="135"/>
      <c r="K56" s="182"/>
      <c r="L56" s="114"/>
      <c r="M56" s="181"/>
      <c r="N56" s="135"/>
      <c r="O56" s="181"/>
      <c r="P56" s="135"/>
      <c r="Q56" s="11"/>
    </row>
    <row r="57" spans="1:17" ht="22.5" customHeight="1">
      <c r="A57" s="202"/>
      <c r="B57" s="111"/>
      <c r="C57" s="111"/>
      <c r="D57" s="110"/>
      <c r="E57" s="111"/>
      <c r="F57" s="112"/>
      <c r="G57" s="106"/>
      <c r="H57" s="110"/>
      <c r="I57" s="111"/>
      <c r="J57" s="112"/>
      <c r="K57" s="110"/>
      <c r="L57" s="111"/>
      <c r="M57" s="110"/>
      <c r="N57" s="112"/>
      <c r="O57" s="110"/>
      <c r="P57" s="112"/>
      <c r="Q57" s="11"/>
    </row>
    <row r="58" spans="1:17" ht="22.5" customHeight="1">
      <c r="A58" s="206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207"/>
      <c r="Q58" s="11"/>
    </row>
    <row r="59" spans="1:17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22.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22.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22.5" customHeight="1">
      <c r="A62" s="9"/>
      <c r="B62" s="137" t="s">
        <v>370</v>
      </c>
      <c r="C62" s="114"/>
      <c r="D62" s="114"/>
      <c r="E62" s="114"/>
      <c r="F62" s="114"/>
      <c r="G62" s="114"/>
      <c r="H62" s="38"/>
      <c r="I62" s="38"/>
      <c r="J62" s="11"/>
      <c r="K62" s="11"/>
      <c r="L62" s="11"/>
      <c r="M62" s="11"/>
      <c r="N62" s="11"/>
      <c r="O62" s="11"/>
      <c r="P62" s="11"/>
      <c r="Q62" s="11"/>
    </row>
    <row r="63" spans="1:17" ht="22.5" customHeight="1" collapsed="1">
      <c r="A63" s="9"/>
      <c r="B63" s="138" t="s">
        <v>155</v>
      </c>
      <c r="C63" s="114"/>
      <c r="D63" s="114"/>
      <c r="E63" s="114"/>
      <c r="F63" s="114"/>
      <c r="G63" s="114"/>
      <c r="H63" s="38"/>
      <c r="I63" s="38"/>
      <c r="J63" s="11"/>
      <c r="K63" s="11"/>
      <c r="L63" s="11"/>
      <c r="M63" s="11"/>
      <c r="N63" s="11"/>
      <c r="O63" s="11"/>
      <c r="P63" s="11"/>
      <c r="Q63" s="11"/>
    </row>
    <row r="64" spans="1:17" ht="22.5" hidden="1" customHeight="1" outlineLevel="1">
      <c r="A64" s="9"/>
      <c r="B64" s="97"/>
      <c r="C64" s="38"/>
      <c r="D64" s="38"/>
      <c r="E64" s="38"/>
      <c r="F64" s="38"/>
      <c r="G64" s="38"/>
      <c r="H64" s="38"/>
      <c r="I64" s="38"/>
      <c r="J64" s="11"/>
      <c r="K64" s="11"/>
      <c r="L64" s="11"/>
      <c r="M64" s="11"/>
      <c r="N64" s="11"/>
      <c r="O64" s="11"/>
      <c r="P64" s="11"/>
      <c r="Q64" s="11"/>
    </row>
    <row r="65" spans="1:17" ht="22.5" hidden="1" customHeight="1" outlineLevel="1">
      <c r="A65" s="9"/>
      <c r="B65" s="184" t="s">
        <v>550</v>
      </c>
      <c r="C65" s="114"/>
      <c r="D65" s="114"/>
      <c r="E65" s="114"/>
      <c r="F65" s="114"/>
      <c r="G65" s="114"/>
      <c r="H65" s="114"/>
      <c r="I65" s="103"/>
      <c r="J65" s="11"/>
      <c r="K65" s="11"/>
      <c r="L65" s="11"/>
      <c r="M65" s="11"/>
      <c r="N65" s="11"/>
      <c r="O65" s="11"/>
      <c r="P65" s="11"/>
      <c r="Q65" s="11"/>
    </row>
    <row r="66" spans="1:17" ht="22.5" hidden="1" customHeight="1" outlineLevel="1">
      <c r="A66" s="9"/>
      <c r="B66" s="185"/>
      <c r="C66" s="114"/>
      <c r="D66" s="114"/>
      <c r="E66" s="114"/>
      <c r="F66" s="114"/>
      <c r="G66" s="114"/>
      <c r="H66" s="114"/>
      <c r="I66" s="103"/>
      <c r="J66" s="11"/>
      <c r="K66" s="11"/>
      <c r="L66" s="11"/>
      <c r="M66" s="11"/>
      <c r="N66" s="11"/>
      <c r="O66" s="11"/>
      <c r="P66" s="11"/>
      <c r="Q66" s="11"/>
    </row>
    <row r="67" spans="1:17" ht="22.5" hidden="1" customHeight="1" outlineLevel="1">
      <c r="A67" s="9"/>
      <c r="B67" s="98"/>
      <c r="C67" s="99"/>
      <c r="D67" s="99"/>
      <c r="E67" s="99"/>
      <c r="F67" s="99"/>
      <c r="G67" s="99"/>
      <c r="H67" s="99"/>
      <c r="I67" s="99"/>
      <c r="J67" s="11"/>
      <c r="K67" s="11"/>
      <c r="L67" s="11"/>
      <c r="M67" s="11"/>
      <c r="N67" s="11"/>
      <c r="O67" s="11"/>
      <c r="P67" s="11"/>
      <c r="Q67" s="11"/>
    </row>
    <row r="68" spans="1:17" ht="22.5" customHeight="1">
      <c r="A68" s="9"/>
      <c r="B68" s="97"/>
      <c r="C68" s="38"/>
      <c r="D68" s="38"/>
      <c r="E68" s="38"/>
      <c r="F68" s="38"/>
      <c r="G68" s="38"/>
      <c r="H68" s="38"/>
      <c r="I68" s="38"/>
      <c r="J68" s="11"/>
      <c r="K68" s="11"/>
      <c r="L68" s="11"/>
      <c r="M68" s="11"/>
      <c r="N68" s="11"/>
      <c r="O68" s="11"/>
      <c r="P68" s="11"/>
      <c r="Q68" s="11"/>
    </row>
    <row r="69" spans="1:17" ht="22.5" customHeight="1">
      <c r="A69" s="9"/>
      <c r="B69" s="97"/>
      <c r="C69" s="38"/>
      <c r="D69" s="38"/>
      <c r="E69" s="38"/>
      <c r="F69" s="38"/>
      <c r="G69" s="38"/>
      <c r="H69" s="38"/>
      <c r="I69" s="38"/>
      <c r="J69" s="11"/>
      <c r="K69" s="11"/>
      <c r="L69" s="11"/>
      <c r="M69" s="11"/>
      <c r="N69" s="11"/>
      <c r="O69" s="11"/>
      <c r="P69" s="11"/>
      <c r="Q69" s="11"/>
    </row>
    <row r="70" spans="1:17" ht="22.5" customHeight="1">
      <c r="A70" s="9"/>
      <c r="B70" s="97"/>
      <c r="C70" s="38"/>
      <c r="D70" s="38"/>
      <c r="E70" s="38"/>
      <c r="F70" s="38"/>
      <c r="G70" s="38"/>
      <c r="H70" s="38"/>
      <c r="I70" s="38"/>
      <c r="J70" s="11"/>
      <c r="K70" s="11"/>
      <c r="L70" s="11"/>
      <c r="M70" s="11"/>
      <c r="N70" s="11"/>
      <c r="O70" s="11"/>
      <c r="P70" s="11"/>
      <c r="Q70" s="11"/>
    </row>
    <row r="71" spans="1:17" ht="22.5" customHeight="1">
      <c r="A71" s="9"/>
      <c r="B71" s="137" t="s">
        <v>414</v>
      </c>
      <c r="C71" s="114"/>
      <c r="D71" s="114"/>
      <c r="E71" s="114"/>
      <c r="F71" s="114"/>
      <c r="G71" s="114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22.5" customHeight="1" collapsed="1">
      <c r="A72" s="9"/>
      <c r="B72" s="138" t="s">
        <v>155</v>
      </c>
      <c r="C72" s="114"/>
      <c r="D72" s="114"/>
      <c r="E72" s="114"/>
      <c r="F72" s="114"/>
      <c r="G72" s="114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22.5" hidden="1" customHeight="1" outlineLevel="1">
      <c r="A73" s="9"/>
      <c r="B73" s="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22.5" hidden="1" customHeight="1" outlineLevel="1">
      <c r="A74" s="9"/>
      <c r="B74" s="211" t="s">
        <v>551</v>
      </c>
      <c r="C74" s="114"/>
      <c r="D74" s="114"/>
      <c r="E74" s="114"/>
      <c r="F74" s="114"/>
      <c r="G74" s="114"/>
      <c r="H74" s="114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22.5" hidden="1" customHeight="1" outlineLevel="1">
      <c r="A75" s="9"/>
      <c r="B75" s="212"/>
      <c r="C75" s="114"/>
      <c r="D75" s="114"/>
      <c r="E75" s="114"/>
      <c r="F75" s="114"/>
      <c r="G75" s="114"/>
      <c r="H75" s="114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22.5" hidden="1" customHeight="1" outlineLevel="1">
      <c r="A76" s="9"/>
      <c r="B76" s="212"/>
      <c r="C76" s="114"/>
      <c r="D76" s="114"/>
      <c r="E76" s="114"/>
      <c r="F76" s="114"/>
      <c r="G76" s="114"/>
      <c r="H76" s="114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22.5" hidden="1" customHeight="1" outlineLevel="1">
      <c r="A77" s="9"/>
      <c r="B77" s="212"/>
      <c r="C77" s="114"/>
      <c r="D77" s="114"/>
      <c r="E77" s="114"/>
      <c r="F77" s="114"/>
      <c r="G77" s="114"/>
      <c r="H77" s="114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22.5" hidden="1" customHeight="1" outlineLevel="1">
      <c r="A78" s="9"/>
      <c r="B78" s="212"/>
      <c r="C78" s="114"/>
      <c r="D78" s="114"/>
      <c r="E78" s="114"/>
      <c r="F78" s="114"/>
      <c r="G78" s="114"/>
      <c r="H78" s="114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22.5" hidden="1" customHeight="1" outlineLevel="1">
      <c r="A79" s="9"/>
      <c r="B79" s="212"/>
      <c r="C79" s="114"/>
      <c r="D79" s="114"/>
      <c r="E79" s="114"/>
      <c r="F79" s="114"/>
      <c r="G79" s="114"/>
      <c r="H79" s="114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22.5" hidden="1" customHeight="1" outlineLevel="1">
      <c r="A80" s="9"/>
      <c r="B80" s="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22.5" hidden="1" customHeight="1" outlineLevel="1">
      <c r="A81" s="9"/>
      <c r="B81" s="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22.5" customHeight="1">
      <c r="A82" s="9"/>
      <c r="B82" s="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</sheetData>
  <mergeCells count="151">
    <mergeCell ref="O52:P53"/>
    <mergeCell ref="D54:F55"/>
    <mergeCell ref="O54:P55"/>
    <mergeCell ref="B62:G62"/>
    <mergeCell ref="B63:G63"/>
    <mergeCell ref="B65:H66"/>
    <mergeCell ref="B71:G71"/>
    <mergeCell ref="B72:G72"/>
    <mergeCell ref="B74:H79"/>
    <mergeCell ref="D56:F57"/>
    <mergeCell ref="G56:G57"/>
    <mergeCell ref="H56:J57"/>
    <mergeCell ref="K56:L57"/>
    <mergeCell ref="M56:N57"/>
    <mergeCell ref="O56:P57"/>
    <mergeCell ref="A58:P58"/>
    <mergeCell ref="G54:G55"/>
    <mergeCell ref="H54:J55"/>
    <mergeCell ref="K54:L55"/>
    <mergeCell ref="M54:N55"/>
    <mergeCell ref="D52:F53"/>
    <mergeCell ref="G52:G53"/>
    <mergeCell ref="H52:J53"/>
    <mergeCell ref="K52:L53"/>
    <mergeCell ref="M52:N53"/>
    <mergeCell ref="D50:F51"/>
    <mergeCell ref="G50:G51"/>
    <mergeCell ref="H50:J51"/>
    <mergeCell ref="K50:L51"/>
    <mergeCell ref="M50:N51"/>
    <mergeCell ref="O50:P51"/>
    <mergeCell ref="A47:P47"/>
    <mergeCell ref="D48:F49"/>
    <mergeCell ref="G48:G49"/>
    <mergeCell ref="H48:J49"/>
    <mergeCell ref="K48:L49"/>
    <mergeCell ref="M48:N49"/>
    <mergeCell ref="O48:P49"/>
    <mergeCell ref="K45:L46"/>
    <mergeCell ref="M45:N46"/>
    <mergeCell ref="D43:F44"/>
    <mergeCell ref="G43:G44"/>
    <mergeCell ref="H43:J44"/>
    <mergeCell ref="K43:L44"/>
    <mergeCell ref="M43:N44"/>
    <mergeCell ref="O43:P44"/>
    <mergeCell ref="D45:F46"/>
    <mergeCell ref="O45:P46"/>
    <mergeCell ref="A48:C57"/>
    <mergeCell ref="D21:F22"/>
    <mergeCell ref="G23:G24"/>
    <mergeCell ref="H23:J24"/>
    <mergeCell ref="K23:L24"/>
    <mergeCell ref="M23:N24"/>
    <mergeCell ref="O23:P24"/>
    <mergeCell ref="A25:P25"/>
    <mergeCell ref="D23:F24"/>
    <mergeCell ref="D26:F27"/>
    <mergeCell ref="G26:G27"/>
    <mergeCell ref="H26:J27"/>
    <mergeCell ref="K26:L27"/>
    <mergeCell ref="M26:N27"/>
    <mergeCell ref="O26:P27"/>
    <mergeCell ref="K30:L31"/>
    <mergeCell ref="M30:N31"/>
    <mergeCell ref="D28:F29"/>
    <mergeCell ref="G28:G29"/>
    <mergeCell ref="H28:J29"/>
    <mergeCell ref="K28:L29"/>
    <mergeCell ref="M28:N29"/>
    <mergeCell ref="O28:P29"/>
    <mergeCell ref="D30:F31"/>
    <mergeCell ref="K37:L38"/>
    <mergeCell ref="M37:N38"/>
    <mergeCell ref="O37:P38"/>
    <mergeCell ref="A3:C8"/>
    <mergeCell ref="A11:C11"/>
    <mergeCell ref="A13:C14"/>
    <mergeCell ref="A15:C24"/>
    <mergeCell ref="A26:C35"/>
    <mergeCell ref="A37:C46"/>
    <mergeCell ref="O30:P31"/>
    <mergeCell ref="G41:G42"/>
    <mergeCell ref="H41:J42"/>
    <mergeCell ref="K41:L42"/>
    <mergeCell ref="M41:N42"/>
    <mergeCell ref="D39:F40"/>
    <mergeCell ref="G39:G40"/>
    <mergeCell ref="H39:J40"/>
    <mergeCell ref="K39:L40"/>
    <mergeCell ref="M39:N40"/>
    <mergeCell ref="O39:P40"/>
    <mergeCell ref="D41:F42"/>
    <mergeCell ref="O41:P42"/>
    <mergeCell ref="G45:G46"/>
    <mergeCell ref="H45:J46"/>
    <mergeCell ref="D19:F20"/>
    <mergeCell ref="G19:G20"/>
    <mergeCell ref="H19:J20"/>
    <mergeCell ref="G21:G22"/>
    <mergeCell ref="H21:J22"/>
    <mergeCell ref="D34:F35"/>
    <mergeCell ref="D37:F38"/>
    <mergeCell ref="G37:G38"/>
    <mergeCell ref="H37:J38"/>
    <mergeCell ref="G15:G16"/>
    <mergeCell ref="H15:J16"/>
    <mergeCell ref="K15:L16"/>
    <mergeCell ref="M15:N16"/>
    <mergeCell ref="O15:P16"/>
    <mergeCell ref="D17:F18"/>
    <mergeCell ref="O17:P18"/>
    <mergeCell ref="G17:G18"/>
    <mergeCell ref="H17:J18"/>
    <mergeCell ref="A36:P36"/>
    <mergeCell ref="E3:P6"/>
    <mergeCell ref="F7:G8"/>
    <mergeCell ref="I7:I8"/>
    <mergeCell ref="J7:J8"/>
    <mergeCell ref="L7:L8"/>
    <mergeCell ref="M7:N8"/>
    <mergeCell ref="A12:P12"/>
    <mergeCell ref="E7:E8"/>
    <mergeCell ref="D13:F14"/>
    <mergeCell ref="G13:G14"/>
    <mergeCell ref="H13:J14"/>
    <mergeCell ref="K13:L14"/>
    <mergeCell ref="M13:N14"/>
    <mergeCell ref="O13:P14"/>
    <mergeCell ref="K17:L18"/>
    <mergeCell ref="M17:N18"/>
    <mergeCell ref="K19:L20"/>
    <mergeCell ref="M19:N20"/>
    <mergeCell ref="O19:P20"/>
    <mergeCell ref="K21:L22"/>
    <mergeCell ref="M21:N22"/>
    <mergeCell ref="O21:P22"/>
    <mergeCell ref="D15:F16"/>
    <mergeCell ref="G30:G31"/>
    <mergeCell ref="H30:J31"/>
    <mergeCell ref="G32:G33"/>
    <mergeCell ref="H32:J33"/>
    <mergeCell ref="K32:L33"/>
    <mergeCell ref="M32:N33"/>
    <mergeCell ref="O32:P33"/>
    <mergeCell ref="D32:F33"/>
    <mergeCell ref="G34:G35"/>
    <mergeCell ref="H34:J35"/>
    <mergeCell ref="K34:L35"/>
    <mergeCell ref="M34:N35"/>
    <mergeCell ref="O34:P35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61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2" max="12" width="13.85546875" customWidth="1"/>
    <col min="14" max="14" width="13.42578125" customWidth="1"/>
    <col min="15" max="19" width="13.140625" customWidth="1"/>
  </cols>
  <sheetData>
    <row r="1" spans="1:19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 spans="1:19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</row>
    <row r="3" spans="1:19" ht="12.75">
      <c r="A3" s="113"/>
      <c r="B3" s="114"/>
      <c r="C3" s="114"/>
      <c r="D3" s="6"/>
      <c r="E3" s="115" t="s">
        <v>552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7"/>
      <c r="S3" s="1"/>
    </row>
    <row r="4" spans="1:19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9"/>
      <c r="S4" s="1"/>
    </row>
    <row r="5" spans="1:19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9"/>
      <c r="S5" s="1"/>
    </row>
    <row r="6" spans="1:19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2"/>
      <c r="S6" s="1"/>
    </row>
    <row r="7" spans="1:19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"/>
      <c r="P7" s="1"/>
      <c r="Q7" s="1"/>
      <c r="R7" s="1"/>
      <c r="S7" s="1"/>
    </row>
    <row r="8" spans="1:19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  <c r="Q8" s="1"/>
      <c r="R8" s="1"/>
      <c r="S8" s="1"/>
    </row>
    <row r="9" spans="1:1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1"/>
      <c r="R11" s="1"/>
      <c r="S11" s="1"/>
    </row>
    <row r="12" spans="1:19" ht="44.25" customHeight="1">
      <c r="A12" s="147" t="s">
        <v>553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5"/>
      <c r="S12" s="1"/>
    </row>
    <row r="13" spans="1:19" ht="22.5" customHeight="1">
      <c r="A13" s="188" t="s">
        <v>554</v>
      </c>
      <c r="B13" s="114"/>
      <c r="C13" s="119"/>
      <c r="D13" s="208" t="s">
        <v>555</v>
      </c>
      <c r="E13" s="114"/>
      <c r="F13" s="119"/>
      <c r="G13" s="208" t="s">
        <v>556</v>
      </c>
      <c r="H13" s="114"/>
      <c r="I13" s="119"/>
      <c r="J13" s="222" t="s">
        <v>557</v>
      </c>
      <c r="K13" s="119"/>
      <c r="L13" s="222" t="s">
        <v>558</v>
      </c>
      <c r="M13" s="119"/>
      <c r="N13" s="222" t="s">
        <v>559</v>
      </c>
      <c r="O13" s="114"/>
      <c r="P13" s="114"/>
      <c r="Q13" s="222" t="s">
        <v>560</v>
      </c>
      <c r="R13" s="119"/>
      <c r="S13" s="1"/>
    </row>
    <row r="14" spans="1:19" ht="22.5" customHeight="1">
      <c r="A14" s="114"/>
      <c r="B14" s="114"/>
      <c r="C14" s="119"/>
      <c r="D14" s="118"/>
      <c r="E14" s="114"/>
      <c r="F14" s="119"/>
      <c r="G14" s="118"/>
      <c r="H14" s="114"/>
      <c r="I14" s="119"/>
      <c r="J14" s="118"/>
      <c r="K14" s="119"/>
      <c r="L14" s="118"/>
      <c r="M14" s="119"/>
      <c r="N14" s="118"/>
      <c r="O14" s="114"/>
      <c r="P14" s="114"/>
      <c r="Q14" s="118"/>
      <c r="R14" s="119"/>
      <c r="S14" s="1"/>
    </row>
    <row r="15" spans="1:19" ht="22.5" customHeight="1">
      <c r="A15" s="182" t="s">
        <v>561</v>
      </c>
      <c r="B15" s="114"/>
      <c r="C15" s="135"/>
      <c r="D15" s="182" t="s">
        <v>562</v>
      </c>
      <c r="E15" s="114"/>
      <c r="F15" s="135"/>
      <c r="G15" s="182" t="s">
        <v>563</v>
      </c>
      <c r="H15" s="114"/>
      <c r="I15" s="135"/>
      <c r="J15" s="181" t="s">
        <v>564</v>
      </c>
      <c r="K15" s="135"/>
      <c r="L15" s="181" t="s">
        <v>565</v>
      </c>
      <c r="M15" s="135"/>
      <c r="N15" s="229" t="s">
        <v>566</v>
      </c>
      <c r="O15" s="114"/>
      <c r="P15" s="135"/>
      <c r="Q15" s="181" t="s">
        <v>567</v>
      </c>
      <c r="R15" s="135"/>
      <c r="S15" s="101"/>
    </row>
    <row r="16" spans="1:19" ht="22.5" customHeight="1">
      <c r="A16" s="110"/>
      <c r="B16" s="111"/>
      <c r="C16" s="112"/>
      <c r="D16" s="110"/>
      <c r="E16" s="111"/>
      <c r="F16" s="112"/>
      <c r="G16" s="110"/>
      <c r="H16" s="111"/>
      <c r="I16" s="112"/>
      <c r="J16" s="110"/>
      <c r="K16" s="112"/>
      <c r="L16" s="110"/>
      <c r="M16" s="112"/>
      <c r="N16" s="114"/>
      <c r="O16" s="114"/>
      <c r="P16" s="135"/>
      <c r="Q16" s="110"/>
      <c r="R16" s="112"/>
      <c r="S16" s="101"/>
    </row>
    <row r="17" spans="1:19" ht="22.5" customHeight="1">
      <c r="A17" s="205" t="s">
        <v>568</v>
      </c>
      <c r="B17" s="108"/>
      <c r="C17" s="109"/>
      <c r="D17" s="205" t="s">
        <v>569</v>
      </c>
      <c r="E17" s="108"/>
      <c r="F17" s="109"/>
      <c r="G17" s="205" t="s">
        <v>570</v>
      </c>
      <c r="H17" s="108"/>
      <c r="I17" s="109"/>
      <c r="J17" s="228" t="s">
        <v>571</v>
      </c>
      <c r="K17" s="109"/>
      <c r="L17" s="181" t="s">
        <v>565</v>
      </c>
      <c r="M17" s="135"/>
      <c r="N17" s="225" t="s">
        <v>572</v>
      </c>
      <c r="O17" s="108"/>
      <c r="P17" s="109"/>
      <c r="Q17" s="181" t="s">
        <v>573</v>
      </c>
      <c r="R17" s="135"/>
      <c r="S17" s="101"/>
    </row>
    <row r="18" spans="1:19" ht="22.5" customHeight="1">
      <c r="A18" s="110"/>
      <c r="B18" s="111"/>
      <c r="C18" s="112"/>
      <c r="D18" s="110"/>
      <c r="E18" s="111"/>
      <c r="F18" s="112"/>
      <c r="G18" s="110"/>
      <c r="H18" s="111"/>
      <c r="I18" s="112"/>
      <c r="J18" s="110"/>
      <c r="K18" s="112"/>
      <c r="L18" s="110"/>
      <c r="M18" s="112"/>
      <c r="N18" s="114"/>
      <c r="O18" s="114"/>
      <c r="P18" s="135"/>
      <c r="Q18" s="110"/>
      <c r="R18" s="112"/>
      <c r="S18" s="101"/>
    </row>
    <row r="19" spans="1:19" ht="22.5" customHeight="1">
      <c r="A19" s="205" t="s">
        <v>574</v>
      </c>
      <c r="B19" s="108"/>
      <c r="C19" s="109"/>
      <c r="D19" s="205" t="s">
        <v>575</v>
      </c>
      <c r="E19" s="108"/>
      <c r="F19" s="109"/>
      <c r="G19" s="205" t="s">
        <v>576</v>
      </c>
      <c r="H19" s="108"/>
      <c r="I19" s="109"/>
      <c r="J19" s="205" t="s">
        <v>577</v>
      </c>
      <c r="K19" s="109"/>
      <c r="L19" s="224" t="s">
        <v>578</v>
      </c>
      <c r="M19" s="109"/>
      <c r="N19" s="226" t="s">
        <v>579</v>
      </c>
      <c r="O19" s="108"/>
      <c r="P19" s="109"/>
      <c r="Q19" s="181" t="s">
        <v>580</v>
      </c>
      <c r="R19" s="135"/>
      <c r="S19" s="101"/>
    </row>
    <row r="20" spans="1:19" ht="22.5" customHeight="1">
      <c r="A20" s="110"/>
      <c r="B20" s="111"/>
      <c r="C20" s="112"/>
      <c r="D20" s="110"/>
      <c r="E20" s="111"/>
      <c r="F20" s="112"/>
      <c r="G20" s="110"/>
      <c r="H20" s="111"/>
      <c r="I20" s="112"/>
      <c r="J20" s="110"/>
      <c r="K20" s="112"/>
      <c r="L20" s="110"/>
      <c r="M20" s="112"/>
      <c r="N20" s="114"/>
      <c r="O20" s="114"/>
      <c r="P20" s="135"/>
      <c r="Q20" s="110"/>
      <c r="R20" s="112"/>
      <c r="S20" s="101"/>
    </row>
    <row r="21" spans="1:19" ht="22.5" customHeight="1">
      <c r="A21" s="205" t="s">
        <v>581</v>
      </c>
      <c r="B21" s="108"/>
      <c r="C21" s="109"/>
      <c r="D21" s="205" t="s">
        <v>582</v>
      </c>
      <c r="E21" s="108"/>
      <c r="F21" s="109"/>
      <c r="G21" s="205" t="s">
        <v>583</v>
      </c>
      <c r="H21" s="108"/>
      <c r="I21" s="109"/>
      <c r="J21" s="205" t="s">
        <v>584</v>
      </c>
      <c r="K21" s="109"/>
      <c r="L21" s="224" t="s">
        <v>585</v>
      </c>
      <c r="M21" s="109"/>
      <c r="N21" s="227" t="s">
        <v>586</v>
      </c>
      <c r="O21" s="108"/>
      <c r="P21" s="109"/>
      <c r="Q21" s="181" t="s">
        <v>587</v>
      </c>
      <c r="R21" s="135"/>
      <c r="S21" s="101"/>
    </row>
    <row r="22" spans="1:19" ht="22.5" customHeight="1">
      <c r="A22" s="110"/>
      <c r="B22" s="111"/>
      <c r="C22" s="112"/>
      <c r="D22" s="110"/>
      <c r="E22" s="111"/>
      <c r="F22" s="112"/>
      <c r="G22" s="110"/>
      <c r="H22" s="111"/>
      <c r="I22" s="112"/>
      <c r="J22" s="110"/>
      <c r="K22" s="112"/>
      <c r="L22" s="110"/>
      <c r="M22" s="112"/>
      <c r="N22" s="114"/>
      <c r="O22" s="114"/>
      <c r="P22" s="135"/>
      <c r="Q22" s="110"/>
      <c r="R22" s="112"/>
      <c r="S22" s="101"/>
    </row>
    <row r="23" spans="1:19" ht="22.5" customHeight="1">
      <c r="A23" s="205" t="s">
        <v>588</v>
      </c>
      <c r="B23" s="108"/>
      <c r="C23" s="109"/>
      <c r="D23" s="205" t="s">
        <v>589</v>
      </c>
      <c r="E23" s="108"/>
      <c r="F23" s="109"/>
      <c r="G23" s="205" t="s">
        <v>590</v>
      </c>
      <c r="H23" s="108"/>
      <c r="I23" s="109"/>
      <c r="J23" s="205" t="s">
        <v>584</v>
      </c>
      <c r="K23" s="109"/>
      <c r="L23" s="224" t="s">
        <v>578</v>
      </c>
      <c r="M23" s="109"/>
      <c r="N23" s="226" t="s">
        <v>591</v>
      </c>
      <c r="O23" s="108"/>
      <c r="P23" s="109"/>
      <c r="Q23" s="181" t="s">
        <v>592</v>
      </c>
      <c r="R23" s="135"/>
      <c r="S23" s="101"/>
    </row>
    <row r="24" spans="1:19" ht="22.5" customHeight="1">
      <c r="A24" s="110"/>
      <c r="B24" s="111"/>
      <c r="C24" s="112"/>
      <c r="D24" s="110"/>
      <c r="E24" s="111"/>
      <c r="F24" s="112"/>
      <c r="G24" s="110"/>
      <c r="H24" s="111"/>
      <c r="I24" s="112"/>
      <c r="J24" s="110"/>
      <c r="K24" s="112"/>
      <c r="L24" s="110"/>
      <c r="M24" s="112"/>
      <c r="N24" s="114"/>
      <c r="O24" s="114"/>
      <c r="P24" s="135"/>
      <c r="Q24" s="110"/>
      <c r="R24" s="112"/>
      <c r="S24" s="101"/>
    </row>
    <row r="25" spans="1:19" ht="22.5" customHeight="1">
      <c r="A25" s="182" t="s">
        <v>593</v>
      </c>
      <c r="B25" s="114"/>
      <c r="C25" s="135"/>
      <c r="D25" s="182" t="s">
        <v>594</v>
      </c>
      <c r="E25" s="114"/>
      <c r="F25" s="135"/>
      <c r="G25" s="182" t="s">
        <v>595</v>
      </c>
      <c r="H25" s="114"/>
      <c r="I25" s="135"/>
      <c r="J25" s="181" t="s">
        <v>584</v>
      </c>
      <c r="K25" s="135"/>
      <c r="L25" s="181" t="s">
        <v>596</v>
      </c>
      <c r="M25" s="135"/>
      <c r="N25" s="226" t="s">
        <v>597</v>
      </c>
      <c r="O25" s="108"/>
      <c r="P25" s="109"/>
      <c r="Q25" s="181" t="s">
        <v>598</v>
      </c>
      <c r="R25" s="135"/>
      <c r="S25" s="101"/>
    </row>
    <row r="26" spans="1:19" ht="22.5" customHeight="1">
      <c r="A26" s="110"/>
      <c r="B26" s="111"/>
      <c r="C26" s="112"/>
      <c r="D26" s="110"/>
      <c r="E26" s="111"/>
      <c r="F26" s="112"/>
      <c r="G26" s="110"/>
      <c r="H26" s="111"/>
      <c r="I26" s="112"/>
      <c r="J26" s="110"/>
      <c r="K26" s="112"/>
      <c r="L26" s="110"/>
      <c r="M26" s="112"/>
      <c r="N26" s="114"/>
      <c r="O26" s="114"/>
      <c r="P26" s="135"/>
      <c r="Q26" s="110"/>
      <c r="R26" s="112"/>
      <c r="S26" s="101"/>
    </row>
    <row r="27" spans="1:19" ht="22.5" customHeight="1">
      <c r="A27" s="205" t="s">
        <v>599</v>
      </c>
      <c r="B27" s="108"/>
      <c r="C27" s="109"/>
      <c r="D27" s="205" t="s">
        <v>600</v>
      </c>
      <c r="E27" s="108"/>
      <c r="F27" s="109"/>
      <c r="G27" s="182" t="s">
        <v>601</v>
      </c>
      <c r="H27" s="114"/>
      <c r="I27" s="135"/>
      <c r="J27" s="228" t="s">
        <v>602</v>
      </c>
      <c r="K27" s="109"/>
      <c r="L27" s="224" t="s">
        <v>603</v>
      </c>
      <c r="M27" s="109"/>
      <c r="N27" s="225" t="s">
        <v>604</v>
      </c>
      <c r="O27" s="108"/>
      <c r="P27" s="109"/>
      <c r="Q27" s="181" t="s">
        <v>605</v>
      </c>
      <c r="R27" s="135"/>
      <c r="S27" s="101"/>
    </row>
    <row r="28" spans="1:19" ht="22.5" customHeight="1">
      <c r="A28" s="110"/>
      <c r="B28" s="111"/>
      <c r="C28" s="112"/>
      <c r="D28" s="110"/>
      <c r="E28" s="111"/>
      <c r="F28" s="112"/>
      <c r="G28" s="110"/>
      <c r="H28" s="111"/>
      <c r="I28" s="112"/>
      <c r="J28" s="110"/>
      <c r="K28" s="112"/>
      <c r="L28" s="110"/>
      <c r="M28" s="112"/>
      <c r="N28" s="114"/>
      <c r="O28" s="114"/>
      <c r="P28" s="135"/>
      <c r="Q28" s="110"/>
      <c r="R28" s="112"/>
      <c r="S28" s="101"/>
    </row>
    <row r="29" spans="1:19" ht="22.5" customHeight="1">
      <c r="A29" s="205"/>
      <c r="B29" s="108"/>
      <c r="C29" s="109"/>
      <c r="D29" s="205"/>
      <c r="E29" s="108"/>
      <c r="F29" s="109"/>
      <c r="G29" s="205"/>
      <c r="H29" s="108"/>
      <c r="I29" s="109"/>
      <c r="J29" s="205"/>
      <c r="K29" s="109"/>
      <c r="L29" s="224"/>
      <c r="M29" s="109"/>
      <c r="N29" s="226"/>
      <c r="O29" s="108"/>
      <c r="P29" s="109"/>
      <c r="Q29" s="181"/>
      <c r="R29" s="135"/>
      <c r="S29" s="101"/>
    </row>
    <row r="30" spans="1:19" ht="22.5" customHeight="1">
      <c r="A30" s="110"/>
      <c r="B30" s="111"/>
      <c r="C30" s="112"/>
      <c r="D30" s="110"/>
      <c r="E30" s="111"/>
      <c r="F30" s="112"/>
      <c r="G30" s="110"/>
      <c r="H30" s="111"/>
      <c r="I30" s="112"/>
      <c r="J30" s="110"/>
      <c r="K30" s="112"/>
      <c r="L30" s="110"/>
      <c r="M30" s="112"/>
      <c r="N30" s="114"/>
      <c r="O30" s="114"/>
      <c r="P30" s="135"/>
      <c r="Q30" s="110"/>
      <c r="R30" s="112"/>
      <c r="S30" s="101"/>
    </row>
    <row r="31" spans="1:19" ht="22.5" customHeight="1">
      <c r="A31" s="205"/>
      <c r="B31" s="108"/>
      <c r="C31" s="109"/>
      <c r="D31" s="205"/>
      <c r="E31" s="108"/>
      <c r="F31" s="109"/>
      <c r="G31" s="205"/>
      <c r="H31" s="108"/>
      <c r="I31" s="109"/>
      <c r="J31" s="205"/>
      <c r="K31" s="109"/>
      <c r="L31" s="224"/>
      <c r="M31" s="109"/>
      <c r="N31" s="227"/>
      <c r="O31" s="108"/>
      <c r="P31" s="109"/>
      <c r="Q31" s="181"/>
      <c r="R31" s="135"/>
      <c r="S31" s="101"/>
    </row>
    <row r="32" spans="1:19" ht="22.5" customHeight="1">
      <c r="A32" s="110"/>
      <c r="B32" s="111"/>
      <c r="C32" s="112"/>
      <c r="D32" s="110"/>
      <c r="E32" s="111"/>
      <c r="F32" s="112"/>
      <c r="G32" s="110"/>
      <c r="H32" s="111"/>
      <c r="I32" s="112"/>
      <c r="J32" s="110"/>
      <c r="K32" s="112"/>
      <c r="L32" s="110"/>
      <c r="M32" s="112"/>
      <c r="N32" s="114"/>
      <c r="O32" s="114"/>
      <c r="P32" s="135"/>
      <c r="Q32" s="110"/>
      <c r="R32" s="112"/>
      <c r="S32" s="101"/>
    </row>
    <row r="33" spans="1:19" ht="21.75" customHeight="1">
      <c r="A33" s="205"/>
      <c r="B33" s="108"/>
      <c r="C33" s="109"/>
      <c r="D33" s="205"/>
      <c r="E33" s="108"/>
      <c r="F33" s="109"/>
      <c r="G33" s="205"/>
      <c r="H33" s="108"/>
      <c r="I33" s="109"/>
      <c r="J33" s="205"/>
      <c r="K33" s="109"/>
      <c r="L33" s="224"/>
      <c r="M33" s="109"/>
      <c r="N33" s="227"/>
      <c r="O33" s="108"/>
      <c r="P33" s="109"/>
      <c r="Q33" s="181"/>
      <c r="R33" s="135"/>
      <c r="S33" s="101"/>
    </row>
    <row r="34" spans="1:19" ht="22.5" customHeight="1">
      <c r="A34" s="110"/>
      <c r="B34" s="111"/>
      <c r="C34" s="112"/>
      <c r="D34" s="110"/>
      <c r="E34" s="111"/>
      <c r="F34" s="112"/>
      <c r="G34" s="110"/>
      <c r="H34" s="111"/>
      <c r="I34" s="112"/>
      <c r="J34" s="110"/>
      <c r="K34" s="112"/>
      <c r="L34" s="110"/>
      <c r="M34" s="112"/>
      <c r="N34" s="114"/>
      <c r="O34" s="114"/>
      <c r="P34" s="135"/>
      <c r="Q34" s="110"/>
      <c r="R34" s="112"/>
      <c r="S34" s="101"/>
    </row>
    <row r="35" spans="1:19" ht="16.5" customHeight="1">
      <c r="A35" s="206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207"/>
      <c r="S35" s="1"/>
    </row>
    <row r="36" spans="1:19" ht="22.5" customHeight="1">
      <c r="A36" s="9"/>
      <c r="B36" s="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22.5" customHeight="1">
      <c r="A37" s="9"/>
      <c r="B37" s="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22.5" customHeight="1">
      <c r="A38" s="9"/>
      <c r="B38" s="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22.5" customHeight="1">
      <c r="A39" s="9"/>
      <c r="B39" s="137" t="s">
        <v>370</v>
      </c>
      <c r="C39" s="114"/>
      <c r="D39" s="114"/>
      <c r="E39" s="114"/>
      <c r="F39" s="114"/>
      <c r="G39" s="114"/>
      <c r="H39" s="38"/>
      <c r="I39" s="38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22.5" customHeight="1" collapsed="1">
      <c r="A40" s="9"/>
      <c r="B40" s="138" t="s">
        <v>155</v>
      </c>
      <c r="C40" s="114"/>
      <c r="D40" s="114"/>
      <c r="E40" s="114"/>
      <c r="F40" s="114"/>
      <c r="G40" s="114"/>
      <c r="H40" s="38"/>
      <c r="I40" s="38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22.5" hidden="1" customHeight="1" outlineLevel="1">
      <c r="A41" s="9"/>
      <c r="B41" s="97"/>
      <c r="C41" s="38"/>
      <c r="D41" s="38"/>
      <c r="E41" s="38"/>
      <c r="F41" s="38"/>
      <c r="G41" s="38"/>
      <c r="H41" s="38"/>
      <c r="I41" s="38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22.5" hidden="1" customHeight="1" outlineLevel="1">
      <c r="A42" s="9"/>
      <c r="B42" s="184" t="s">
        <v>606</v>
      </c>
      <c r="C42" s="114"/>
      <c r="D42" s="114"/>
      <c r="E42" s="114"/>
      <c r="F42" s="114"/>
      <c r="G42" s="114"/>
      <c r="H42" s="114"/>
      <c r="I42" s="103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22.5" hidden="1" customHeight="1" outlineLevel="1">
      <c r="A43" s="9"/>
      <c r="B43" s="185"/>
      <c r="C43" s="114"/>
      <c r="D43" s="114"/>
      <c r="E43" s="114"/>
      <c r="F43" s="114"/>
      <c r="G43" s="114"/>
      <c r="H43" s="114"/>
      <c r="I43" s="103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22.5" hidden="1" customHeight="1" outlineLevel="1">
      <c r="A44" s="9"/>
      <c r="B44" s="98"/>
      <c r="C44" s="99"/>
      <c r="D44" s="99"/>
      <c r="E44" s="99"/>
      <c r="F44" s="99"/>
      <c r="G44" s="99"/>
      <c r="H44" s="99"/>
      <c r="I44" s="99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22.5" customHeight="1">
      <c r="A45" s="9"/>
      <c r="B45" s="97"/>
      <c r="C45" s="38"/>
      <c r="D45" s="38"/>
      <c r="E45" s="38"/>
      <c r="F45" s="38"/>
      <c r="G45" s="38"/>
      <c r="H45" s="38"/>
      <c r="I45" s="38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22.5" customHeight="1">
      <c r="A46" s="9"/>
      <c r="B46" s="97"/>
      <c r="C46" s="38"/>
      <c r="D46" s="38"/>
      <c r="E46" s="38"/>
      <c r="F46" s="38"/>
      <c r="G46" s="38"/>
      <c r="H46" s="38"/>
      <c r="I46" s="38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22.5" customHeight="1">
      <c r="A47" s="9"/>
      <c r="B47" s="97"/>
      <c r="C47" s="38"/>
      <c r="D47" s="38"/>
      <c r="E47" s="38"/>
      <c r="F47" s="38"/>
      <c r="G47" s="38"/>
      <c r="H47" s="38"/>
      <c r="I47" s="38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22.5" customHeight="1">
      <c r="A48" s="9"/>
      <c r="B48" s="137" t="s">
        <v>414</v>
      </c>
      <c r="C48" s="114"/>
      <c r="D48" s="114"/>
      <c r="E48" s="114"/>
      <c r="F48" s="114"/>
      <c r="G48" s="11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22.5" customHeight="1" collapsed="1">
      <c r="A49" s="9"/>
      <c r="B49" s="138" t="s">
        <v>155</v>
      </c>
      <c r="C49" s="114"/>
      <c r="D49" s="114"/>
      <c r="E49" s="114"/>
      <c r="F49" s="114"/>
      <c r="G49" s="11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22.5" hidden="1" customHeight="1" outlineLevel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22.5" hidden="1" customHeight="1" outlineLevel="1">
      <c r="A51" s="9"/>
      <c r="B51" s="211" t="s">
        <v>607</v>
      </c>
      <c r="C51" s="114"/>
      <c r="D51" s="114"/>
      <c r="E51" s="114"/>
      <c r="F51" s="114"/>
      <c r="G51" s="114"/>
      <c r="H51" s="1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22.5" hidden="1" customHeight="1" outlineLevel="1">
      <c r="A52" s="9"/>
      <c r="B52" s="212"/>
      <c r="C52" s="114"/>
      <c r="D52" s="114"/>
      <c r="E52" s="114"/>
      <c r="F52" s="114"/>
      <c r="G52" s="114"/>
      <c r="H52" s="114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22.5" hidden="1" customHeight="1" outlineLevel="1">
      <c r="A53" s="9"/>
      <c r="B53" s="212"/>
      <c r="C53" s="114"/>
      <c r="D53" s="114"/>
      <c r="E53" s="114"/>
      <c r="F53" s="114"/>
      <c r="G53" s="114"/>
      <c r="H53" s="114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22.5" hidden="1" customHeight="1" outlineLevel="1">
      <c r="A54" s="9"/>
      <c r="B54" s="212"/>
      <c r="C54" s="114"/>
      <c r="D54" s="114"/>
      <c r="E54" s="114"/>
      <c r="F54" s="114"/>
      <c r="G54" s="114"/>
      <c r="H54" s="114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22.5" hidden="1" customHeight="1" outlineLevel="1">
      <c r="A55" s="9"/>
      <c r="B55" s="212"/>
      <c r="C55" s="114"/>
      <c r="D55" s="114"/>
      <c r="E55" s="114"/>
      <c r="F55" s="114"/>
      <c r="G55" s="114"/>
      <c r="H55" s="114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22.5" hidden="1" customHeight="1" outlineLevel="1">
      <c r="A56" s="9"/>
      <c r="B56" s="212"/>
      <c r="C56" s="114"/>
      <c r="D56" s="114"/>
      <c r="E56" s="114"/>
      <c r="F56" s="114"/>
      <c r="G56" s="114"/>
      <c r="H56" s="114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22.5" hidden="1" customHeight="1" outlineLevel="1">
      <c r="A57" s="9"/>
      <c r="B57" s="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22.5" hidden="1" customHeight="1" outlineLevel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22.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ht="22.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</sheetData>
  <mergeCells count="94">
    <mergeCell ref="Q23:R24"/>
    <mergeCell ref="D23:F24"/>
    <mergeCell ref="G23:I24"/>
    <mergeCell ref="J23:K24"/>
    <mergeCell ref="L23:M24"/>
    <mergeCell ref="N23:P24"/>
    <mergeCell ref="D17:F18"/>
    <mergeCell ref="Q17:R18"/>
    <mergeCell ref="G21:I22"/>
    <mergeCell ref="J21:K22"/>
    <mergeCell ref="N21:P22"/>
    <mergeCell ref="Q21:R22"/>
    <mergeCell ref="G17:I18"/>
    <mergeCell ref="J17:K18"/>
    <mergeCell ref="D19:F20"/>
    <mergeCell ref="G19:I20"/>
    <mergeCell ref="J19:K20"/>
    <mergeCell ref="L19:M20"/>
    <mergeCell ref="L21:M22"/>
    <mergeCell ref="D21:F22"/>
    <mergeCell ref="D15:F16"/>
    <mergeCell ref="G15:I16"/>
    <mergeCell ref="J15:K16"/>
    <mergeCell ref="L15:M16"/>
    <mergeCell ref="N15:P16"/>
    <mergeCell ref="N13:P14"/>
    <mergeCell ref="Q13:R14"/>
    <mergeCell ref="L17:M18"/>
    <mergeCell ref="N17:P18"/>
    <mergeCell ref="N19:P20"/>
    <mergeCell ref="Q19:R20"/>
    <mergeCell ref="Q15:R16"/>
    <mergeCell ref="L33:M34"/>
    <mergeCell ref="N33:P34"/>
    <mergeCell ref="Q33:R34"/>
    <mergeCell ref="A35:R35"/>
    <mergeCell ref="E3:R6"/>
    <mergeCell ref="F7:G8"/>
    <mergeCell ref="I7:I8"/>
    <mergeCell ref="J7:J8"/>
    <mergeCell ref="L7:L8"/>
    <mergeCell ref="M7:N8"/>
    <mergeCell ref="A12:R12"/>
    <mergeCell ref="E7:E8"/>
    <mergeCell ref="D13:F14"/>
    <mergeCell ref="G13:I14"/>
    <mergeCell ref="J13:K14"/>
    <mergeCell ref="L13:M14"/>
    <mergeCell ref="B49:G49"/>
    <mergeCell ref="B51:H56"/>
    <mergeCell ref="D31:F32"/>
    <mergeCell ref="G33:I34"/>
    <mergeCell ref="J33:K34"/>
    <mergeCell ref="D33:F34"/>
    <mergeCell ref="B39:G39"/>
    <mergeCell ref="B40:G40"/>
    <mergeCell ref="B42:H43"/>
    <mergeCell ref="B48:G48"/>
    <mergeCell ref="G31:I32"/>
    <mergeCell ref="J31:K32"/>
    <mergeCell ref="N31:P32"/>
    <mergeCell ref="Q31:R32"/>
    <mergeCell ref="G27:I28"/>
    <mergeCell ref="J27:K28"/>
    <mergeCell ref="G29:I30"/>
    <mergeCell ref="J29:K30"/>
    <mergeCell ref="L29:M30"/>
    <mergeCell ref="L31:M32"/>
    <mergeCell ref="L27:M28"/>
    <mergeCell ref="N27:P28"/>
    <mergeCell ref="N29:P30"/>
    <mergeCell ref="Q29:R30"/>
    <mergeCell ref="D25:F26"/>
    <mergeCell ref="G25:I26"/>
    <mergeCell ref="J25:K26"/>
    <mergeCell ref="L25:M26"/>
    <mergeCell ref="N25:P26"/>
    <mergeCell ref="Q25:R26"/>
    <mergeCell ref="D27:F28"/>
    <mergeCell ref="Q27:R28"/>
    <mergeCell ref="D29:F30"/>
    <mergeCell ref="A33:C34"/>
    <mergeCell ref="A3:C8"/>
    <mergeCell ref="A11:C11"/>
    <mergeCell ref="A13:C14"/>
    <mergeCell ref="A15:C16"/>
    <mergeCell ref="A17:C18"/>
    <mergeCell ref="A19:C20"/>
    <mergeCell ref="A21:C22"/>
    <mergeCell ref="A23:C24"/>
    <mergeCell ref="A25:C26"/>
    <mergeCell ref="A27:C28"/>
    <mergeCell ref="A29:C30"/>
    <mergeCell ref="A31:C32"/>
  </mergeCells>
  <dataValidations count="1">
    <dataValidation type="list" allowBlank="1" showErrorMessage="1" sqref="M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59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2" max="12" width="13.85546875" customWidth="1"/>
    <col min="14" max="14" width="13.42578125" customWidth="1"/>
    <col min="15" max="18" width="13.140625" customWidth="1"/>
    <col min="19" max="19" width="8.5703125" customWidth="1"/>
  </cols>
  <sheetData>
    <row r="1" spans="1:19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 spans="1:19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</row>
    <row r="3" spans="1:19" ht="12.75">
      <c r="A3" s="113"/>
      <c r="B3" s="114"/>
      <c r="C3" s="114"/>
      <c r="D3" s="6"/>
      <c r="E3" s="115" t="s">
        <v>608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7"/>
      <c r="S3" s="1"/>
    </row>
    <row r="4" spans="1:19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9"/>
      <c r="S4" s="1"/>
    </row>
    <row r="5" spans="1:19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9"/>
      <c r="S5" s="1"/>
    </row>
    <row r="6" spans="1:19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2"/>
      <c r="S6" s="1"/>
    </row>
    <row r="7" spans="1:19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"/>
      <c r="P7" s="1"/>
      <c r="Q7" s="1"/>
      <c r="R7" s="1"/>
      <c r="S7" s="1"/>
    </row>
    <row r="8" spans="1:19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  <c r="Q8" s="1"/>
      <c r="R8" s="1"/>
      <c r="S8" s="1"/>
    </row>
    <row r="9" spans="1:1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1"/>
      <c r="R11" s="1"/>
      <c r="S11" s="1"/>
    </row>
    <row r="12" spans="1:19" ht="44.25" customHeight="1">
      <c r="A12" s="147" t="s">
        <v>609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5"/>
      <c r="S12" s="1"/>
    </row>
    <row r="13" spans="1:19" ht="22.5" customHeight="1">
      <c r="A13" s="188" t="s">
        <v>610</v>
      </c>
      <c r="B13" s="114"/>
      <c r="C13" s="119"/>
      <c r="D13" s="208" t="s">
        <v>611</v>
      </c>
      <c r="E13" s="114"/>
      <c r="F13" s="119"/>
      <c r="G13" s="208" t="s">
        <v>556</v>
      </c>
      <c r="H13" s="114"/>
      <c r="I13" s="119"/>
      <c r="J13" s="222" t="s">
        <v>471</v>
      </c>
      <c r="K13" s="119"/>
      <c r="L13" s="222" t="s">
        <v>558</v>
      </c>
      <c r="M13" s="119"/>
      <c r="N13" s="222" t="s">
        <v>5</v>
      </c>
      <c r="O13" s="114"/>
      <c r="P13" s="114"/>
      <c r="Q13" s="222" t="s">
        <v>560</v>
      </c>
      <c r="R13" s="119"/>
      <c r="S13" s="1"/>
    </row>
    <row r="14" spans="1:19" ht="22.5" customHeight="1">
      <c r="A14" s="114"/>
      <c r="B14" s="114"/>
      <c r="C14" s="119"/>
      <c r="D14" s="118"/>
      <c r="E14" s="114"/>
      <c r="F14" s="119"/>
      <c r="G14" s="118"/>
      <c r="H14" s="114"/>
      <c r="I14" s="119"/>
      <c r="J14" s="118"/>
      <c r="K14" s="119"/>
      <c r="L14" s="118"/>
      <c r="M14" s="119"/>
      <c r="N14" s="118"/>
      <c r="O14" s="114"/>
      <c r="P14" s="114"/>
      <c r="Q14" s="118"/>
      <c r="R14" s="119"/>
      <c r="S14" s="1"/>
    </row>
    <row r="15" spans="1:19" ht="22.5" customHeight="1">
      <c r="A15" s="182" t="s">
        <v>612</v>
      </c>
      <c r="B15" s="114"/>
      <c r="C15" s="135"/>
      <c r="D15" s="182" t="s">
        <v>613</v>
      </c>
      <c r="E15" s="114"/>
      <c r="F15" s="135"/>
      <c r="G15" s="182" t="s">
        <v>614</v>
      </c>
      <c r="H15" s="114"/>
      <c r="I15" s="135"/>
      <c r="J15" s="181" t="s">
        <v>476</v>
      </c>
      <c r="K15" s="135"/>
      <c r="L15" s="181" t="s">
        <v>615</v>
      </c>
      <c r="M15" s="135"/>
      <c r="N15" s="229" t="s">
        <v>616</v>
      </c>
      <c r="O15" s="114"/>
      <c r="P15" s="135"/>
      <c r="Q15" s="181" t="s">
        <v>617</v>
      </c>
      <c r="R15" s="135"/>
      <c r="S15" s="100"/>
    </row>
    <row r="16" spans="1:19" ht="22.5" customHeight="1">
      <c r="A16" s="110"/>
      <c r="B16" s="111"/>
      <c r="C16" s="112"/>
      <c r="D16" s="110"/>
      <c r="E16" s="111"/>
      <c r="F16" s="112"/>
      <c r="G16" s="110"/>
      <c r="H16" s="111"/>
      <c r="I16" s="112"/>
      <c r="J16" s="110"/>
      <c r="K16" s="112"/>
      <c r="L16" s="110"/>
      <c r="M16" s="112"/>
      <c r="N16" s="114"/>
      <c r="O16" s="114"/>
      <c r="P16" s="135"/>
      <c r="Q16" s="110"/>
      <c r="R16" s="112"/>
      <c r="S16" s="100"/>
    </row>
    <row r="17" spans="1:19" ht="22.5" customHeight="1">
      <c r="A17" s="205" t="s">
        <v>618</v>
      </c>
      <c r="B17" s="108"/>
      <c r="C17" s="109"/>
      <c r="D17" s="205" t="s">
        <v>619</v>
      </c>
      <c r="E17" s="108"/>
      <c r="F17" s="109"/>
      <c r="G17" s="205" t="s">
        <v>620</v>
      </c>
      <c r="H17" s="108"/>
      <c r="I17" s="109"/>
      <c r="J17" s="228" t="s">
        <v>621</v>
      </c>
      <c r="K17" s="109"/>
      <c r="L17" s="181" t="s">
        <v>615</v>
      </c>
      <c r="M17" s="135"/>
      <c r="N17" s="225" t="s">
        <v>622</v>
      </c>
      <c r="O17" s="108"/>
      <c r="P17" s="109"/>
      <c r="Q17" s="181" t="s">
        <v>623</v>
      </c>
      <c r="R17" s="135"/>
      <c r="S17" s="100"/>
    </row>
    <row r="18" spans="1:19" ht="22.5" customHeight="1">
      <c r="A18" s="110"/>
      <c r="B18" s="111"/>
      <c r="C18" s="112"/>
      <c r="D18" s="110"/>
      <c r="E18" s="111"/>
      <c r="F18" s="112"/>
      <c r="G18" s="110"/>
      <c r="H18" s="111"/>
      <c r="I18" s="112"/>
      <c r="J18" s="110"/>
      <c r="K18" s="112"/>
      <c r="L18" s="110"/>
      <c r="M18" s="112"/>
      <c r="N18" s="114"/>
      <c r="O18" s="114"/>
      <c r="P18" s="135"/>
      <c r="Q18" s="110"/>
      <c r="R18" s="112"/>
      <c r="S18" s="100"/>
    </row>
    <row r="19" spans="1:19" ht="22.5" customHeight="1">
      <c r="A19" s="205" t="s">
        <v>624</v>
      </c>
      <c r="B19" s="108"/>
      <c r="C19" s="109"/>
      <c r="D19" s="205" t="s">
        <v>625</v>
      </c>
      <c r="E19" s="108"/>
      <c r="F19" s="109"/>
      <c r="G19" s="205" t="s">
        <v>626</v>
      </c>
      <c r="H19" s="108"/>
      <c r="I19" s="109"/>
      <c r="J19" s="181" t="s">
        <v>476</v>
      </c>
      <c r="K19" s="135"/>
      <c r="L19" s="224" t="s">
        <v>578</v>
      </c>
      <c r="M19" s="109"/>
      <c r="N19" s="226" t="s">
        <v>627</v>
      </c>
      <c r="O19" s="108"/>
      <c r="P19" s="109"/>
      <c r="Q19" s="181" t="s">
        <v>628</v>
      </c>
      <c r="R19" s="135"/>
      <c r="S19" s="100"/>
    </row>
    <row r="20" spans="1:19" ht="22.5" customHeight="1">
      <c r="A20" s="110"/>
      <c r="B20" s="111"/>
      <c r="C20" s="112"/>
      <c r="D20" s="110"/>
      <c r="E20" s="111"/>
      <c r="F20" s="112"/>
      <c r="G20" s="110"/>
      <c r="H20" s="111"/>
      <c r="I20" s="112"/>
      <c r="J20" s="110"/>
      <c r="K20" s="112"/>
      <c r="L20" s="110"/>
      <c r="M20" s="112"/>
      <c r="N20" s="114"/>
      <c r="O20" s="114"/>
      <c r="P20" s="135"/>
      <c r="Q20" s="110"/>
      <c r="R20" s="112"/>
      <c r="S20" s="100"/>
    </row>
    <row r="21" spans="1:19" ht="22.5" customHeight="1">
      <c r="A21" s="205" t="s">
        <v>629</v>
      </c>
      <c r="B21" s="108"/>
      <c r="C21" s="109"/>
      <c r="D21" s="205" t="s">
        <v>630</v>
      </c>
      <c r="E21" s="108"/>
      <c r="F21" s="109"/>
      <c r="G21" s="205" t="s">
        <v>631</v>
      </c>
      <c r="H21" s="108"/>
      <c r="I21" s="109"/>
      <c r="J21" s="205" t="s">
        <v>632</v>
      </c>
      <c r="K21" s="109"/>
      <c r="L21" s="181" t="s">
        <v>615</v>
      </c>
      <c r="M21" s="135"/>
      <c r="N21" s="227" t="s">
        <v>138</v>
      </c>
      <c r="O21" s="108"/>
      <c r="P21" s="109"/>
      <c r="Q21" s="181" t="s">
        <v>633</v>
      </c>
      <c r="R21" s="135"/>
      <c r="S21" s="100"/>
    </row>
    <row r="22" spans="1:19" ht="22.5" customHeight="1">
      <c r="A22" s="110"/>
      <c r="B22" s="111"/>
      <c r="C22" s="112"/>
      <c r="D22" s="110"/>
      <c r="E22" s="111"/>
      <c r="F22" s="112"/>
      <c r="G22" s="110"/>
      <c r="H22" s="111"/>
      <c r="I22" s="112"/>
      <c r="J22" s="110"/>
      <c r="K22" s="112"/>
      <c r="L22" s="110"/>
      <c r="M22" s="112"/>
      <c r="N22" s="114"/>
      <c r="O22" s="114"/>
      <c r="P22" s="135"/>
      <c r="Q22" s="110"/>
      <c r="R22" s="112"/>
      <c r="S22" s="100"/>
    </row>
    <row r="23" spans="1:19" ht="22.5" customHeight="1">
      <c r="A23" s="205" t="s">
        <v>634</v>
      </c>
      <c r="B23" s="108"/>
      <c r="C23" s="109"/>
      <c r="D23" s="205" t="s">
        <v>635</v>
      </c>
      <c r="E23" s="108"/>
      <c r="F23" s="109"/>
      <c r="G23" s="205" t="s">
        <v>636</v>
      </c>
      <c r="H23" s="108"/>
      <c r="I23" s="109"/>
      <c r="J23" s="205" t="s">
        <v>637</v>
      </c>
      <c r="K23" s="109"/>
      <c r="L23" s="181" t="s">
        <v>615</v>
      </c>
      <c r="M23" s="135"/>
      <c r="N23" s="226" t="s">
        <v>638</v>
      </c>
      <c r="O23" s="108"/>
      <c r="P23" s="109"/>
      <c r="Q23" s="181" t="s">
        <v>639</v>
      </c>
      <c r="R23" s="135"/>
      <c r="S23" s="100"/>
    </row>
    <row r="24" spans="1:19" ht="22.5" customHeight="1">
      <c r="A24" s="110"/>
      <c r="B24" s="111"/>
      <c r="C24" s="112"/>
      <c r="D24" s="110"/>
      <c r="E24" s="111"/>
      <c r="F24" s="112"/>
      <c r="G24" s="110"/>
      <c r="H24" s="111"/>
      <c r="I24" s="112"/>
      <c r="J24" s="110"/>
      <c r="K24" s="112"/>
      <c r="L24" s="110"/>
      <c r="M24" s="112"/>
      <c r="N24" s="114"/>
      <c r="O24" s="114"/>
      <c r="P24" s="135"/>
      <c r="Q24" s="110"/>
      <c r="R24" s="112"/>
      <c r="S24" s="100"/>
    </row>
    <row r="25" spans="1:19" ht="22.5" customHeight="1">
      <c r="A25" s="182"/>
      <c r="B25" s="114"/>
      <c r="C25" s="135"/>
      <c r="D25" s="182"/>
      <c r="E25" s="114"/>
      <c r="F25" s="135"/>
      <c r="G25" s="182"/>
      <c r="H25" s="114"/>
      <c r="I25" s="135"/>
      <c r="J25" s="181"/>
      <c r="K25" s="135"/>
      <c r="L25" s="181"/>
      <c r="M25" s="135"/>
      <c r="N25" s="226"/>
      <c r="O25" s="108"/>
      <c r="P25" s="109"/>
      <c r="Q25" s="181"/>
      <c r="R25" s="135"/>
      <c r="S25" s="100"/>
    </row>
    <row r="26" spans="1:19" ht="22.5" customHeight="1">
      <c r="A26" s="110"/>
      <c r="B26" s="111"/>
      <c r="C26" s="112"/>
      <c r="D26" s="110"/>
      <c r="E26" s="111"/>
      <c r="F26" s="112"/>
      <c r="G26" s="110"/>
      <c r="H26" s="111"/>
      <c r="I26" s="112"/>
      <c r="J26" s="110"/>
      <c r="K26" s="112"/>
      <c r="L26" s="110"/>
      <c r="M26" s="112"/>
      <c r="N26" s="114"/>
      <c r="O26" s="114"/>
      <c r="P26" s="135"/>
      <c r="Q26" s="110"/>
      <c r="R26" s="112"/>
      <c r="S26" s="100"/>
    </row>
    <row r="27" spans="1:19" ht="22.5" customHeight="1">
      <c r="A27" s="205"/>
      <c r="B27" s="108"/>
      <c r="C27" s="109"/>
      <c r="D27" s="205"/>
      <c r="E27" s="108"/>
      <c r="F27" s="109"/>
      <c r="G27" s="205"/>
      <c r="H27" s="108"/>
      <c r="I27" s="109"/>
      <c r="J27" s="228"/>
      <c r="K27" s="109"/>
      <c r="L27" s="224"/>
      <c r="M27" s="109"/>
      <c r="N27" s="225"/>
      <c r="O27" s="108"/>
      <c r="P27" s="109"/>
      <c r="Q27" s="181"/>
      <c r="R27" s="135"/>
      <c r="S27" s="100"/>
    </row>
    <row r="28" spans="1:19" ht="22.5" customHeight="1">
      <c r="A28" s="110"/>
      <c r="B28" s="111"/>
      <c r="C28" s="112"/>
      <c r="D28" s="110"/>
      <c r="E28" s="111"/>
      <c r="F28" s="112"/>
      <c r="G28" s="110"/>
      <c r="H28" s="111"/>
      <c r="I28" s="112"/>
      <c r="J28" s="110"/>
      <c r="K28" s="112"/>
      <c r="L28" s="110"/>
      <c r="M28" s="112"/>
      <c r="N28" s="114"/>
      <c r="O28" s="114"/>
      <c r="P28" s="135"/>
      <c r="Q28" s="110"/>
      <c r="R28" s="112"/>
      <c r="S28" s="100"/>
    </row>
    <row r="29" spans="1:19" ht="22.5" customHeight="1">
      <c r="A29" s="205"/>
      <c r="B29" s="108"/>
      <c r="C29" s="109"/>
      <c r="D29" s="205"/>
      <c r="E29" s="108"/>
      <c r="F29" s="109"/>
      <c r="G29" s="205"/>
      <c r="H29" s="108"/>
      <c r="I29" s="109"/>
      <c r="J29" s="205"/>
      <c r="K29" s="109"/>
      <c r="L29" s="224"/>
      <c r="M29" s="109"/>
      <c r="N29" s="226"/>
      <c r="O29" s="108"/>
      <c r="P29" s="109"/>
      <c r="Q29" s="181"/>
      <c r="R29" s="135"/>
      <c r="S29" s="100"/>
    </row>
    <row r="30" spans="1:19" ht="22.5" customHeight="1">
      <c r="A30" s="110"/>
      <c r="B30" s="111"/>
      <c r="C30" s="112"/>
      <c r="D30" s="110"/>
      <c r="E30" s="111"/>
      <c r="F30" s="112"/>
      <c r="G30" s="110"/>
      <c r="H30" s="111"/>
      <c r="I30" s="112"/>
      <c r="J30" s="110"/>
      <c r="K30" s="112"/>
      <c r="L30" s="110"/>
      <c r="M30" s="112"/>
      <c r="N30" s="114"/>
      <c r="O30" s="114"/>
      <c r="P30" s="135"/>
      <c r="Q30" s="110"/>
      <c r="R30" s="112"/>
      <c r="S30" s="100"/>
    </row>
    <row r="31" spans="1:19" ht="22.5" customHeight="1">
      <c r="A31" s="205"/>
      <c r="B31" s="108"/>
      <c r="C31" s="109"/>
      <c r="D31" s="205"/>
      <c r="E31" s="108"/>
      <c r="F31" s="109"/>
      <c r="G31" s="205"/>
      <c r="H31" s="108"/>
      <c r="I31" s="109"/>
      <c r="J31" s="205"/>
      <c r="K31" s="109"/>
      <c r="L31" s="224"/>
      <c r="M31" s="109"/>
      <c r="N31" s="227"/>
      <c r="O31" s="108"/>
      <c r="P31" s="109"/>
      <c r="Q31" s="181"/>
      <c r="R31" s="135"/>
      <c r="S31" s="100"/>
    </row>
    <row r="32" spans="1:19" ht="22.5" customHeight="1">
      <c r="A32" s="110"/>
      <c r="B32" s="111"/>
      <c r="C32" s="112"/>
      <c r="D32" s="110"/>
      <c r="E32" s="111"/>
      <c r="F32" s="112"/>
      <c r="G32" s="110"/>
      <c r="H32" s="111"/>
      <c r="I32" s="112"/>
      <c r="J32" s="110"/>
      <c r="K32" s="112"/>
      <c r="L32" s="110"/>
      <c r="M32" s="112"/>
      <c r="N32" s="114"/>
      <c r="O32" s="114"/>
      <c r="P32" s="135"/>
      <c r="Q32" s="110"/>
      <c r="R32" s="112"/>
      <c r="S32" s="100"/>
    </row>
    <row r="33" spans="1:19" ht="21.75" customHeight="1">
      <c r="A33" s="205"/>
      <c r="B33" s="108"/>
      <c r="C33" s="109"/>
      <c r="D33" s="205"/>
      <c r="E33" s="108"/>
      <c r="F33" s="109"/>
      <c r="G33" s="205"/>
      <c r="H33" s="108"/>
      <c r="I33" s="109"/>
      <c r="J33" s="205"/>
      <c r="K33" s="109"/>
      <c r="L33" s="224"/>
      <c r="M33" s="109"/>
      <c r="N33" s="227"/>
      <c r="O33" s="108"/>
      <c r="P33" s="109"/>
      <c r="Q33" s="181"/>
      <c r="R33" s="135"/>
      <c r="S33" s="100"/>
    </row>
    <row r="34" spans="1:19" ht="22.5" customHeight="1">
      <c r="A34" s="110"/>
      <c r="B34" s="111"/>
      <c r="C34" s="112"/>
      <c r="D34" s="110"/>
      <c r="E34" s="111"/>
      <c r="F34" s="112"/>
      <c r="G34" s="110"/>
      <c r="H34" s="111"/>
      <c r="I34" s="112"/>
      <c r="J34" s="110"/>
      <c r="K34" s="112"/>
      <c r="L34" s="110"/>
      <c r="M34" s="112"/>
      <c r="N34" s="114"/>
      <c r="O34" s="114"/>
      <c r="P34" s="135"/>
      <c r="Q34" s="110"/>
      <c r="R34" s="112"/>
      <c r="S34" s="100"/>
    </row>
    <row r="35" spans="1:19" ht="16.5" customHeight="1">
      <c r="A35" s="206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207"/>
      <c r="S35" s="13"/>
    </row>
    <row r="36" spans="1:19" ht="22.5" customHeight="1">
      <c r="A36" s="9"/>
      <c r="B36" s="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22.5" customHeight="1">
      <c r="A37" s="9"/>
      <c r="B37" s="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22.5" customHeight="1">
      <c r="A38" s="9"/>
      <c r="B38" s="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22.5" customHeight="1">
      <c r="A39" s="9"/>
      <c r="B39" s="137" t="s">
        <v>370</v>
      </c>
      <c r="C39" s="114"/>
      <c r="D39" s="114"/>
      <c r="E39" s="114"/>
      <c r="F39" s="114"/>
      <c r="G39" s="114"/>
      <c r="H39" s="38"/>
      <c r="I39" s="38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22.5" customHeight="1" collapsed="1">
      <c r="A40" s="9"/>
      <c r="B40" s="138" t="s">
        <v>155</v>
      </c>
      <c r="C40" s="114"/>
      <c r="D40" s="114"/>
      <c r="E40" s="114"/>
      <c r="F40" s="114"/>
      <c r="G40" s="114"/>
      <c r="H40" s="38"/>
      <c r="I40" s="38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22.5" hidden="1" customHeight="1" outlineLevel="1">
      <c r="A41" s="9"/>
      <c r="B41" s="97"/>
      <c r="C41" s="38"/>
      <c r="D41" s="38"/>
      <c r="E41" s="38"/>
      <c r="F41" s="38"/>
      <c r="G41" s="38"/>
      <c r="H41" s="38"/>
      <c r="I41" s="38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22.5" hidden="1" customHeight="1" outlineLevel="1">
      <c r="A42" s="9"/>
      <c r="B42" s="184" t="s">
        <v>640</v>
      </c>
      <c r="C42" s="114"/>
      <c r="D42" s="114"/>
      <c r="E42" s="114"/>
      <c r="F42" s="114"/>
      <c r="G42" s="114"/>
      <c r="H42" s="114"/>
      <c r="I42" s="103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22.5" hidden="1" customHeight="1" outlineLevel="1">
      <c r="A43" s="9"/>
      <c r="B43" s="185"/>
      <c r="C43" s="114"/>
      <c r="D43" s="114"/>
      <c r="E43" s="114"/>
      <c r="F43" s="114"/>
      <c r="G43" s="114"/>
      <c r="H43" s="114"/>
      <c r="I43" s="103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22.5" hidden="1" customHeight="1" outlineLevel="1">
      <c r="A44" s="9"/>
      <c r="B44" s="98"/>
      <c r="C44" s="99"/>
      <c r="D44" s="99"/>
      <c r="E44" s="99"/>
      <c r="F44" s="99"/>
      <c r="G44" s="99"/>
      <c r="H44" s="99"/>
      <c r="I44" s="99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22.5" customHeight="1">
      <c r="A45" s="9"/>
      <c r="B45" s="97"/>
      <c r="C45" s="38"/>
      <c r="D45" s="38"/>
      <c r="E45" s="38"/>
      <c r="F45" s="38"/>
      <c r="G45" s="38"/>
      <c r="H45" s="38"/>
      <c r="I45" s="38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22.5" customHeight="1">
      <c r="A46" s="9"/>
      <c r="B46" s="97"/>
      <c r="C46" s="38"/>
      <c r="D46" s="38"/>
      <c r="E46" s="38"/>
      <c r="F46" s="38"/>
      <c r="G46" s="38"/>
      <c r="H46" s="38"/>
      <c r="I46" s="38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22.5" customHeight="1">
      <c r="A47" s="9"/>
      <c r="B47" s="97"/>
      <c r="C47" s="38"/>
      <c r="D47" s="38"/>
      <c r="E47" s="38"/>
      <c r="F47" s="38"/>
      <c r="G47" s="38"/>
      <c r="H47" s="38"/>
      <c r="I47" s="38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22.5" customHeight="1">
      <c r="A48" s="9"/>
      <c r="B48" s="137" t="s">
        <v>414</v>
      </c>
      <c r="C48" s="114"/>
      <c r="D48" s="114"/>
      <c r="E48" s="114"/>
      <c r="F48" s="114"/>
      <c r="G48" s="11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22.5" customHeight="1" collapsed="1">
      <c r="A49" s="9"/>
      <c r="B49" s="138" t="s">
        <v>155</v>
      </c>
      <c r="C49" s="114"/>
      <c r="D49" s="114"/>
      <c r="E49" s="114"/>
      <c r="F49" s="114"/>
      <c r="G49" s="11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22.5" hidden="1" customHeight="1" outlineLevel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22.5" hidden="1" customHeight="1" outlineLevel="1">
      <c r="A51" s="9"/>
      <c r="B51" s="211" t="s">
        <v>641</v>
      </c>
      <c r="C51" s="114"/>
      <c r="D51" s="114"/>
      <c r="E51" s="114"/>
      <c r="F51" s="114"/>
      <c r="G51" s="114"/>
      <c r="H51" s="1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22.5" hidden="1" customHeight="1" outlineLevel="1">
      <c r="A52" s="9"/>
      <c r="B52" s="212"/>
      <c r="C52" s="114"/>
      <c r="D52" s="114"/>
      <c r="E52" s="114"/>
      <c r="F52" s="114"/>
      <c r="G52" s="114"/>
      <c r="H52" s="114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22.5" hidden="1" customHeight="1" outlineLevel="1">
      <c r="A53" s="9"/>
      <c r="B53" s="212"/>
      <c r="C53" s="114"/>
      <c r="D53" s="114"/>
      <c r="E53" s="114"/>
      <c r="F53" s="114"/>
      <c r="G53" s="114"/>
      <c r="H53" s="114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22.5" hidden="1" customHeight="1" outlineLevel="1">
      <c r="A54" s="9"/>
      <c r="B54" s="212"/>
      <c r="C54" s="114"/>
      <c r="D54" s="114"/>
      <c r="E54" s="114"/>
      <c r="F54" s="114"/>
      <c r="G54" s="114"/>
      <c r="H54" s="114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22.5" hidden="1" customHeight="1" outlineLevel="1">
      <c r="A55" s="9"/>
      <c r="B55" s="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22.5" hidden="1" customHeight="1" outlineLevel="1">
      <c r="A56" s="9"/>
      <c r="B56" s="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22.5" customHeight="1">
      <c r="A57" s="9"/>
      <c r="B57" s="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22.5" customHeight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</sheetData>
  <mergeCells count="94">
    <mergeCell ref="Q23:R24"/>
    <mergeCell ref="D23:F24"/>
    <mergeCell ref="G23:I24"/>
    <mergeCell ref="J23:K24"/>
    <mergeCell ref="L23:M24"/>
    <mergeCell ref="N23:P24"/>
    <mergeCell ref="D17:F18"/>
    <mergeCell ref="Q17:R18"/>
    <mergeCell ref="G21:I22"/>
    <mergeCell ref="J21:K22"/>
    <mergeCell ref="N21:P22"/>
    <mergeCell ref="Q21:R22"/>
    <mergeCell ref="G17:I18"/>
    <mergeCell ref="J17:K18"/>
    <mergeCell ref="D19:F20"/>
    <mergeCell ref="G19:I20"/>
    <mergeCell ref="J19:K20"/>
    <mergeCell ref="L19:M20"/>
    <mergeCell ref="L21:M22"/>
    <mergeCell ref="D21:F22"/>
    <mergeCell ref="D15:F16"/>
    <mergeCell ref="G15:I16"/>
    <mergeCell ref="J15:K16"/>
    <mergeCell ref="L15:M16"/>
    <mergeCell ref="N15:P16"/>
    <mergeCell ref="N13:P14"/>
    <mergeCell ref="Q13:R14"/>
    <mergeCell ref="L17:M18"/>
    <mergeCell ref="N17:P18"/>
    <mergeCell ref="N19:P20"/>
    <mergeCell ref="Q19:R20"/>
    <mergeCell ref="Q15:R16"/>
    <mergeCell ref="L33:M34"/>
    <mergeCell ref="N33:P34"/>
    <mergeCell ref="Q33:R34"/>
    <mergeCell ref="A35:R35"/>
    <mergeCell ref="E3:R6"/>
    <mergeCell ref="F7:G8"/>
    <mergeCell ref="I7:I8"/>
    <mergeCell ref="J7:J8"/>
    <mergeCell ref="L7:L8"/>
    <mergeCell ref="M7:N8"/>
    <mergeCell ref="A12:R12"/>
    <mergeCell ref="E7:E8"/>
    <mergeCell ref="D13:F14"/>
    <mergeCell ref="G13:I14"/>
    <mergeCell ref="J13:K14"/>
    <mergeCell ref="L13:M14"/>
    <mergeCell ref="B49:G49"/>
    <mergeCell ref="B51:H54"/>
    <mergeCell ref="D31:F32"/>
    <mergeCell ref="G33:I34"/>
    <mergeCell ref="J33:K34"/>
    <mergeCell ref="D33:F34"/>
    <mergeCell ref="B39:G39"/>
    <mergeCell ref="B40:G40"/>
    <mergeCell ref="B42:H43"/>
    <mergeCell ref="B48:G48"/>
    <mergeCell ref="G31:I32"/>
    <mergeCell ref="J31:K32"/>
    <mergeCell ref="N31:P32"/>
    <mergeCell ref="Q31:R32"/>
    <mergeCell ref="G27:I28"/>
    <mergeCell ref="J27:K28"/>
    <mergeCell ref="G29:I30"/>
    <mergeCell ref="J29:K30"/>
    <mergeCell ref="L29:M30"/>
    <mergeCell ref="L31:M32"/>
    <mergeCell ref="L27:M28"/>
    <mergeCell ref="N27:P28"/>
    <mergeCell ref="N29:P30"/>
    <mergeCell ref="Q29:R30"/>
    <mergeCell ref="D25:F26"/>
    <mergeCell ref="G25:I26"/>
    <mergeCell ref="J25:K26"/>
    <mergeCell ref="L25:M26"/>
    <mergeCell ref="N25:P26"/>
    <mergeCell ref="Q25:R26"/>
    <mergeCell ref="D27:F28"/>
    <mergeCell ref="Q27:R28"/>
    <mergeCell ref="D29:F30"/>
    <mergeCell ref="A33:C34"/>
    <mergeCell ref="A3:C8"/>
    <mergeCell ref="A11:C11"/>
    <mergeCell ref="A13:C14"/>
    <mergeCell ref="A15:C16"/>
    <mergeCell ref="A17:C18"/>
    <mergeCell ref="A19:C20"/>
    <mergeCell ref="A21:C22"/>
    <mergeCell ref="A23:C24"/>
    <mergeCell ref="A25:C26"/>
    <mergeCell ref="A27:C28"/>
    <mergeCell ref="A29:C30"/>
    <mergeCell ref="A31:C32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73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2" max="12" width="13.85546875" customWidth="1"/>
    <col min="14" max="14" width="13.42578125" customWidth="1"/>
    <col min="15" max="15" width="8.5703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13"/>
      <c r="B3" s="114"/>
      <c r="C3" s="114"/>
      <c r="D3" s="6"/>
      <c r="E3" s="115" t="s">
        <v>642</v>
      </c>
      <c r="F3" s="116"/>
      <c r="G3" s="116"/>
      <c r="H3" s="116"/>
      <c r="I3" s="116"/>
      <c r="J3" s="116"/>
      <c r="K3" s="116"/>
      <c r="L3" s="116"/>
      <c r="M3" s="116"/>
      <c r="N3" s="117"/>
      <c r="O3" s="1"/>
    </row>
    <row r="4" spans="1:15" ht="12.75">
      <c r="A4" s="114"/>
      <c r="B4" s="114"/>
      <c r="C4" s="114"/>
      <c r="D4" s="6"/>
      <c r="E4" s="118"/>
      <c r="F4" s="114"/>
      <c r="G4" s="114"/>
      <c r="H4" s="114"/>
      <c r="I4" s="114"/>
      <c r="J4" s="114"/>
      <c r="K4" s="114"/>
      <c r="L4" s="114"/>
      <c r="M4" s="114"/>
      <c r="N4" s="119"/>
      <c r="O4" s="1"/>
    </row>
    <row r="5" spans="1:15" ht="12.75">
      <c r="A5" s="114"/>
      <c r="B5" s="114"/>
      <c r="C5" s="114"/>
      <c r="D5" s="6"/>
      <c r="E5" s="118"/>
      <c r="F5" s="114"/>
      <c r="G5" s="114"/>
      <c r="H5" s="114"/>
      <c r="I5" s="114"/>
      <c r="J5" s="114"/>
      <c r="K5" s="114"/>
      <c r="L5" s="114"/>
      <c r="M5" s="114"/>
      <c r="N5" s="119"/>
      <c r="O5" s="1"/>
    </row>
    <row r="6" spans="1:15" ht="12.75">
      <c r="A6" s="114"/>
      <c r="B6" s="114"/>
      <c r="C6" s="11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2"/>
      <c r="O6" s="1"/>
    </row>
    <row r="7" spans="1:15" ht="12.75">
      <c r="A7" s="114"/>
      <c r="B7" s="114"/>
      <c r="C7" s="114"/>
      <c r="D7" s="6"/>
      <c r="E7" s="167" t="s">
        <v>44</v>
      </c>
      <c r="F7" s="168" t="s">
        <v>45</v>
      </c>
      <c r="G7" s="135"/>
      <c r="H7" s="95"/>
      <c r="I7" s="167" t="s">
        <v>46</v>
      </c>
      <c r="J7" s="133" t="s">
        <v>100</v>
      </c>
      <c r="K7" s="95"/>
      <c r="L7" s="167" t="s">
        <v>48</v>
      </c>
      <c r="M7" s="168" t="s">
        <v>49</v>
      </c>
      <c r="N7" s="135"/>
      <c r="O7" s="1"/>
    </row>
    <row r="8" spans="1:15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31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1"/>
    </row>
    <row r="12" spans="1:15" ht="44.25" customHeight="1">
      <c r="A12" s="147" t="s">
        <v>643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5"/>
      <c r="O12" s="1"/>
    </row>
    <row r="13" spans="1:15" ht="22.5" customHeight="1">
      <c r="A13" s="188" t="s">
        <v>644</v>
      </c>
      <c r="B13" s="114"/>
      <c r="C13" s="119"/>
      <c r="D13" s="208" t="s">
        <v>645</v>
      </c>
      <c r="E13" s="114"/>
      <c r="F13" s="114"/>
      <c r="G13" s="119"/>
      <c r="H13" s="208" t="s">
        <v>557</v>
      </c>
      <c r="I13" s="119"/>
      <c r="J13" s="208" t="s">
        <v>559</v>
      </c>
      <c r="K13" s="114"/>
      <c r="L13" s="114"/>
      <c r="M13" s="114"/>
      <c r="N13" s="114"/>
      <c r="O13" s="1"/>
    </row>
    <row r="14" spans="1:15" ht="22.5" customHeight="1">
      <c r="A14" s="114"/>
      <c r="B14" s="114"/>
      <c r="C14" s="119"/>
      <c r="D14" s="118"/>
      <c r="E14" s="114"/>
      <c r="F14" s="114"/>
      <c r="G14" s="119"/>
      <c r="H14" s="118"/>
      <c r="I14" s="119"/>
      <c r="J14" s="118"/>
      <c r="K14" s="114"/>
      <c r="L14" s="114"/>
      <c r="M14" s="114"/>
      <c r="N14" s="114"/>
      <c r="O14" s="1"/>
    </row>
    <row r="15" spans="1:15" ht="22.5" customHeight="1">
      <c r="A15" s="232" t="b">
        <v>1</v>
      </c>
      <c r="B15" s="189" t="s">
        <v>646</v>
      </c>
      <c r="C15" s="135"/>
      <c r="D15" s="182" t="s">
        <v>647</v>
      </c>
      <c r="E15" s="114"/>
      <c r="F15" s="114"/>
      <c r="G15" s="135"/>
      <c r="H15" s="182" t="s">
        <v>648</v>
      </c>
      <c r="I15" s="135"/>
      <c r="J15" s="182" t="s">
        <v>649</v>
      </c>
      <c r="K15" s="114"/>
      <c r="L15" s="114"/>
      <c r="M15" s="114"/>
      <c r="N15" s="135"/>
      <c r="O15" s="100"/>
    </row>
    <row r="16" spans="1:15" ht="22.5" customHeight="1">
      <c r="A16" s="106"/>
      <c r="B16" s="110"/>
      <c r="C16" s="112"/>
      <c r="D16" s="110"/>
      <c r="E16" s="111"/>
      <c r="F16" s="111"/>
      <c r="G16" s="112"/>
      <c r="H16" s="110"/>
      <c r="I16" s="112"/>
      <c r="J16" s="110"/>
      <c r="K16" s="111"/>
      <c r="L16" s="111"/>
      <c r="M16" s="111"/>
      <c r="N16" s="112"/>
      <c r="O16" s="100"/>
    </row>
    <row r="17" spans="1:15" ht="22.5" customHeight="1">
      <c r="A17" s="230" t="b">
        <v>1</v>
      </c>
      <c r="B17" s="231" t="s">
        <v>650</v>
      </c>
      <c r="C17" s="109"/>
      <c r="D17" s="205" t="s">
        <v>651</v>
      </c>
      <c r="E17" s="108"/>
      <c r="F17" s="108"/>
      <c r="G17" s="109"/>
      <c r="H17" s="205" t="s">
        <v>652</v>
      </c>
      <c r="I17" s="109"/>
      <c r="J17" s="205" t="s">
        <v>653</v>
      </c>
      <c r="K17" s="108"/>
      <c r="L17" s="108"/>
      <c r="M17" s="108"/>
      <c r="N17" s="109"/>
      <c r="O17" s="100"/>
    </row>
    <row r="18" spans="1:15" ht="22.5" customHeight="1">
      <c r="A18" s="106"/>
      <c r="B18" s="110"/>
      <c r="C18" s="112"/>
      <c r="D18" s="110"/>
      <c r="E18" s="111"/>
      <c r="F18" s="111"/>
      <c r="G18" s="112"/>
      <c r="H18" s="110"/>
      <c r="I18" s="112"/>
      <c r="J18" s="110"/>
      <c r="K18" s="111"/>
      <c r="L18" s="111"/>
      <c r="M18" s="111"/>
      <c r="N18" s="112"/>
      <c r="O18" s="100"/>
    </row>
    <row r="19" spans="1:15" ht="22.5" customHeight="1">
      <c r="A19" s="230" t="b">
        <v>1</v>
      </c>
      <c r="B19" s="231" t="s">
        <v>654</v>
      </c>
      <c r="C19" s="109"/>
      <c r="D19" s="205" t="s">
        <v>655</v>
      </c>
      <c r="E19" s="108"/>
      <c r="F19" s="108"/>
      <c r="G19" s="109"/>
      <c r="H19" s="205" t="s">
        <v>648</v>
      </c>
      <c r="I19" s="109"/>
      <c r="J19" s="205" t="s">
        <v>656</v>
      </c>
      <c r="K19" s="108"/>
      <c r="L19" s="108"/>
      <c r="M19" s="108"/>
      <c r="N19" s="109"/>
      <c r="O19" s="100"/>
    </row>
    <row r="20" spans="1:15" ht="22.5" customHeight="1">
      <c r="A20" s="106"/>
      <c r="B20" s="110"/>
      <c r="C20" s="112"/>
      <c r="D20" s="110"/>
      <c r="E20" s="111"/>
      <c r="F20" s="111"/>
      <c r="G20" s="112"/>
      <c r="H20" s="110"/>
      <c r="I20" s="112"/>
      <c r="J20" s="110"/>
      <c r="K20" s="111"/>
      <c r="L20" s="111"/>
      <c r="M20" s="111"/>
      <c r="N20" s="112"/>
      <c r="O20" s="100"/>
    </row>
    <row r="21" spans="1:15" ht="22.5" customHeight="1">
      <c r="A21" s="230" t="b">
        <v>1</v>
      </c>
      <c r="B21" s="231" t="s">
        <v>657</v>
      </c>
      <c r="C21" s="109"/>
      <c r="D21" s="182" t="s">
        <v>658</v>
      </c>
      <c r="E21" s="114"/>
      <c r="F21" s="114"/>
      <c r="G21" s="135"/>
      <c r="H21" s="205" t="s">
        <v>578</v>
      </c>
      <c r="I21" s="109"/>
      <c r="J21" s="205" t="s">
        <v>659</v>
      </c>
      <c r="K21" s="108"/>
      <c r="L21" s="108"/>
      <c r="M21" s="108"/>
      <c r="N21" s="109"/>
      <c r="O21" s="100"/>
    </row>
    <row r="22" spans="1:15" ht="22.5" customHeight="1">
      <c r="A22" s="106"/>
      <c r="B22" s="110"/>
      <c r="C22" s="112"/>
      <c r="D22" s="110"/>
      <c r="E22" s="111"/>
      <c r="F22" s="111"/>
      <c r="G22" s="112"/>
      <c r="H22" s="110"/>
      <c r="I22" s="112"/>
      <c r="J22" s="110"/>
      <c r="K22" s="111"/>
      <c r="L22" s="111"/>
      <c r="M22" s="111"/>
      <c r="N22" s="112"/>
      <c r="O22" s="100"/>
    </row>
    <row r="23" spans="1:15" ht="22.5" customHeight="1">
      <c r="A23" s="230" t="b">
        <v>1</v>
      </c>
      <c r="B23" s="231" t="s">
        <v>660</v>
      </c>
      <c r="C23" s="109"/>
      <c r="D23" s="205" t="s">
        <v>661</v>
      </c>
      <c r="E23" s="108"/>
      <c r="F23" s="108"/>
      <c r="G23" s="109"/>
      <c r="H23" s="205" t="s">
        <v>584</v>
      </c>
      <c r="I23" s="109"/>
      <c r="J23" s="205" t="s">
        <v>662</v>
      </c>
      <c r="K23" s="108"/>
      <c r="L23" s="108"/>
      <c r="M23" s="108"/>
      <c r="N23" s="109"/>
      <c r="O23" s="100"/>
    </row>
    <row r="24" spans="1:15" ht="22.5" customHeight="1">
      <c r="A24" s="106"/>
      <c r="B24" s="110"/>
      <c r="C24" s="112"/>
      <c r="D24" s="110"/>
      <c r="E24" s="111"/>
      <c r="F24" s="111"/>
      <c r="G24" s="112"/>
      <c r="H24" s="110"/>
      <c r="I24" s="112"/>
      <c r="J24" s="110"/>
      <c r="K24" s="111"/>
      <c r="L24" s="111"/>
      <c r="M24" s="111"/>
      <c r="N24" s="112"/>
      <c r="O24" s="100"/>
    </row>
    <row r="25" spans="1:15" ht="22.5" customHeight="1">
      <c r="A25" s="230" t="b">
        <v>0</v>
      </c>
      <c r="B25" s="231"/>
      <c r="C25" s="109"/>
      <c r="D25" s="205"/>
      <c r="E25" s="108"/>
      <c r="F25" s="108"/>
      <c r="G25" s="109"/>
      <c r="H25" s="205"/>
      <c r="I25" s="109"/>
      <c r="J25" s="205"/>
      <c r="K25" s="108"/>
      <c r="L25" s="108"/>
      <c r="M25" s="108"/>
      <c r="N25" s="109"/>
      <c r="O25" s="100"/>
    </row>
    <row r="26" spans="1:15" ht="22.5" customHeight="1">
      <c r="A26" s="106"/>
      <c r="B26" s="110"/>
      <c r="C26" s="112"/>
      <c r="D26" s="110"/>
      <c r="E26" s="111"/>
      <c r="F26" s="111"/>
      <c r="G26" s="112"/>
      <c r="H26" s="110"/>
      <c r="I26" s="112"/>
      <c r="J26" s="110"/>
      <c r="K26" s="111"/>
      <c r="L26" s="111"/>
      <c r="M26" s="111"/>
      <c r="N26" s="112"/>
      <c r="O26" s="100"/>
    </row>
    <row r="27" spans="1:15" ht="22.5" customHeight="1">
      <c r="A27" s="230" t="b">
        <v>0</v>
      </c>
      <c r="B27" s="231"/>
      <c r="C27" s="109"/>
      <c r="D27" s="182"/>
      <c r="E27" s="114"/>
      <c r="F27" s="114"/>
      <c r="G27" s="135"/>
      <c r="H27" s="205"/>
      <c r="I27" s="109"/>
      <c r="J27" s="205"/>
      <c r="K27" s="108"/>
      <c r="L27" s="108"/>
      <c r="M27" s="108"/>
      <c r="N27" s="109"/>
      <c r="O27" s="100"/>
    </row>
    <row r="28" spans="1:15" ht="22.5" customHeight="1">
      <c r="A28" s="106"/>
      <c r="B28" s="110"/>
      <c r="C28" s="112"/>
      <c r="D28" s="110"/>
      <c r="E28" s="111"/>
      <c r="F28" s="111"/>
      <c r="G28" s="112"/>
      <c r="H28" s="110"/>
      <c r="I28" s="112"/>
      <c r="J28" s="110"/>
      <c r="K28" s="111"/>
      <c r="L28" s="111"/>
      <c r="M28" s="111"/>
      <c r="N28" s="112"/>
      <c r="O28" s="100"/>
    </row>
    <row r="29" spans="1:15" ht="22.5" customHeight="1">
      <c r="A29" s="230" t="b">
        <v>0</v>
      </c>
      <c r="B29" s="231"/>
      <c r="C29" s="109"/>
      <c r="D29" s="205"/>
      <c r="E29" s="108"/>
      <c r="F29" s="108"/>
      <c r="G29" s="109"/>
      <c r="H29" s="205"/>
      <c r="I29" s="109"/>
      <c r="J29" s="205"/>
      <c r="K29" s="108"/>
      <c r="L29" s="108"/>
      <c r="M29" s="108"/>
      <c r="N29" s="109"/>
      <c r="O29" s="100"/>
    </row>
    <row r="30" spans="1:15" ht="22.5" customHeight="1">
      <c r="A30" s="106"/>
      <c r="B30" s="110"/>
      <c r="C30" s="112"/>
      <c r="D30" s="110"/>
      <c r="E30" s="111"/>
      <c r="F30" s="111"/>
      <c r="G30" s="112"/>
      <c r="H30" s="110"/>
      <c r="I30" s="112"/>
      <c r="J30" s="110"/>
      <c r="K30" s="111"/>
      <c r="L30" s="111"/>
      <c r="M30" s="111"/>
      <c r="N30" s="112"/>
      <c r="O30" s="100"/>
    </row>
    <row r="31" spans="1:15" ht="22.5" customHeight="1">
      <c r="A31" s="230" t="b">
        <v>0</v>
      </c>
      <c r="B31" s="231"/>
      <c r="C31" s="109"/>
      <c r="D31" s="182"/>
      <c r="E31" s="114"/>
      <c r="F31" s="114"/>
      <c r="G31" s="135"/>
      <c r="H31" s="205"/>
      <c r="I31" s="109"/>
      <c r="J31" s="205"/>
      <c r="K31" s="108"/>
      <c r="L31" s="108"/>
      <c r="M31" s="108"/>
      <c r="N31" s="109"/>
      <c r="O31" s="100"/>
    </row>
    <row r="32" spans="1:15" ht="22.5" customHeight="1">
      <c r="A32" s="106"/>
      <c r="B32" s="110"/>
      <c r="C32" s="112"/>
      <c r="D32" s="110"/>
      <c r="E32" s="111"/>
      <c r="F32" s="111"/>
      <c r="G32" s="112"/>
      <c r="H32" s="110"/>
      <c r="I32" s="112"/>
      <c r="J32" s="110"/>
      <c r="K32" s="111"/>
      <c r="L32" s="111"/>
      <c r="M32" s="111"/>
      <c r="N32" s="112"/>
      <c r="O32" s="100"/>
    </row>
    <row r="33" spans="1:15" ht="22.5" customHeight="1">
      <c r="A33" s="230" t="b">
        <v>0</v>
      </c>
      <c r="B33" s="231"/>
      <c r="C33" s="109"/>
      <c r="D33" s="205"/>
      <c r="E33" s="108"/>
      <c r="F33" s="108"/>
      <c r="G33" s="109"/>
      <c r="H33" s="205"/>
      <c r="I33" s="109"/>
      <c r="J33" s="205"/>
      <c r="K33" s="108"/>
      <c r="L33" s="108"/>
      <c r="M33" s="108"/>
      <c r="N33" s="109"/>
      <c r="O33" s="100"/>
    </row>
    <row r="34" spans="1:15" ht="22.5" customHeight="1">
      <c r="A34" s="106"/>
      <c r="B34" s="110"/>
      <c r="C34" s="112"/>
      <c r="D34" s="110"/>
      <c r="E34" s="111"/>
      <c r="F34" s="111"/>
      <c r="G34" s="112"/>
      <c r="H34" s="110"/>
      <c r="I34" s="112"/>
      <c r="J34" s="110"/>
      <c r="K34" s="111"/>
      <c r="L34" s="111"/>
      <c r="M34" s="111"/>
      <c r="N34" s="112"/>
      <c r="O34" s="100"/>
    </row>
    <row r="35" spans="1:15" ht="22.5" customHeight="1">
      <c r="A35" s="230" t="b">
        <v>0</v>
      </c>
      <c r="B35" s="231"/>
      <c r="C35" s="109"/>
      <c r="D35" s="182"/>
      <c r="E35" s="114"/>
      <c r="F35" s="114"/>
      <c r="G35" s="135"/>
      <c r="H35" s="205"/>
      <c r="I35" s="109"/>
      <c r="J35" s="205"/>
      <c r="K35" s="108"/>
      <c r="L35" s="108"/>
      <c r="M35" s="108"/>
      <c r="N35" s="109"/>
      <c r="O35" s="100"/>
    </row>
    <row r="36" spans="1:15" ht="22.5" customHeight="1">
      <c r="A36" s="106"/>
      <c r="B36" s="110"/>
      <c r="C36" s="112"/>
      <c r="D36" s="110"/>
      <c r="E36" s="111"/>
      <c r="F36" s="111"/>
      <c r="G36" s="112"/>
      <c r="H36" s="110"/>
      <c r="I36" s="112"/>
      <c r="J36" s="110"/>
      <c r="K36" s="111"/>
      <c r="L36" s="111"/>
      <c r="M36" s="111"/>
      <c r="N36" s="112"/>
      <c r="O36" s="100"/>
    </row>
    <row r="37" spans="1:15" ht="22.5" customHeight="1">
      <c r="A37" s="230" t="b">
        <v>0</v>
      </c>
      <c r="B37" s="231"/>
      <c r="C37" s="109"/>
      <c r="D37" s="205"/>
      <c r="E37" s="108"/>
      <c r="F37" s="108"/>
      <c r="G37" s="109"/>
      <c r="H37" s="205"/>
      <c r="I37" s="109"/>
      <c r="J37" s="205"/>
      <c r="K37" s="108"/>
      <c r="L37" s="108"/>
      <c r="M37" s="108"/>
      <c r="N37" s="109"/>
      <c r="O37" s="100"/>
    </row>
    <row r="38" spans="1:15" ht="22.5" customHeight="1">
      <c r="A38" s="106"/>
      <c r="B38" s="110"/>
      <c r="C38" s="112"/>
      <c r="D38" s="110"/>
      <c r="E38" s="111"/>
      <c r="F38" s="111"/>
      <c r="G38" s="112"/>
      <c r="H38" s="110"/>
      <c r="I38" s="112"/>
      <c r="J38" s="110"/>
      <c r="K38" s="111"/>
      <c r="L38" s="111"/>
      <c r="M38" s="111"/>
      <c r="N38" s="112"/>
      <c r="O38" s="100"/>
    </row>
    <row r="39" spans="1:15" ht="22.5" customHeight="1">
      <c r="A39" s="230" t="b">
        <v>0</v>
      </c>
      <c r="B39" s="231"/>
      <c r="C39" s="109"/>
      <c r="D39" s="182"/>
      <c r="E39" s="114"/>
      <c r="F39" s="114"/>
      <c r="G39" s="135"/>
      <c r="H39" s="205"/>
      <c r="I39" s="109"/>
      <c r="J39" s="205"/>
      <c r="K39" s="108"/>
      <c r="L39" s="108"/>
      <c r="M39" s="108"/>
      <c r="N39" s="109"/>
      <c r="O39" s="100"/>
    </row>
    <row r="40" spans="1:15" ht="22.5" customHeight="1">
      <c r="A40" s="106"/>
      <c r="B40" s="110"/>
      <c r="C40" s="112"/>
      <c r="D40" s="110"/>
      <c r="E40" s="111"/>
      <c r="F40" s="111"/>
      <c r="G40" s="112"/>
      <c r="H40" s="110"/>
      <c r="I40" s="112"/>
      <c r="J40" s="110"/>
      <c r="K40" s="111"/>
      <c r="L40" s="111"/>
      <c r="M40" s="111"/>
      <c r="N40" s="112"/>
      <c r="O40" s="100"/>
    </row>
    <row r="41" spans="1:15" ht="22.5" customHeight="1">
      <c r="A41" s="230" t="b">
        <v>0</v>
      </c>
      <c r="B41" s="231"/>
      <c r="C41" s="109"/>
      <c r="D41" s="205"/>
      <c r="E41" s="108"/>
      <c r="F41" s="108"/>
      <c r="G41" s="109"/>
      <c r="H41" s="205"/>
      <c r="I41" s="109"/>
      <c r="J41" s="205"/>
      <c r="K41" s="108"/>
      <c r="L41" s="108"/>
      <c r="M41" s="108"/>
      <c r="N41" s="109"/>
      <c r="O41" s="100"/>
    </row>
    <row r="42" spans="1:15" ht="22.5" customHeight="1">
      <c r="A42" s="106"/>
      <c r="B42" s="110"/>
      <c r="C42" s="112"/>
      <c r="D42" s="110"/>
      <c r="E42" s="111"/>
      <c r="F42" s="111"/>
      <c r="G42" s="112"/>
      <c r="H42" s="110"/>
      <c r="I42" s="112"/>
      <c r="J42" s="110"/>
      <c r="K42" s="111"/>
      <c r="L42" s="111"/>
      <c r="M42" s="111"/>
      <c r="N42" s="112"/>
      <c r="O42" s="100"/>
    </row>
    <row r="43" spans="1:15" ht="22.5" customHeight="1">
      <c r="A43" s="230" t="b">
        <v>0</v>
      </c>
      <c r="B43" s="231"/>
      <c r="C43" s="109"/>
      <c r="D43" s="182"/>
      <c r="E43" s="114"/>
      <c r="F43" s="114"/>
      <c r="G43" s="135"/>
      <c r="H43" s="205"/>
      <c r="I43" s="109"/>
      <c r="J43" s="205"/>
      <c r="K43" s="108"/>
      <c r="L43" s="108"/>
      <c r="M43" s="108"/>
      <c r="N43" s="109"/>
      <c r="O43" s="100"/>
    </row>
    <row r="44" spans="1:15" ht="22.5" customHeight="1">
      <c r="A44" s="106"/>
      <c r="B44" s="110"/>
      <c r="C44" s="112"/>
      <c r="D44" s="110"/>
      <c r="E44" s="111"/>
      <c r="F44" s="111"/>
      <c r="G44" s="112"/>
      <c r="H44" s="110"/>
      <c r="I44" s="112"/>
      <c r="J44" s="110"/>
      <c r="K44" s="111"/>
      <c r="L44" s="111"/>
      <c r="M44" s="111"/>
      <c r="N44" s="112"/>
      <c r="O44" s="100"/>
    </row>
    <row r="45" spans="1:15" ht="22.5" customHeight="1">
      <c r="A45" s="230" t="b">
        <v>0</v>
      </c>
      <c r="B45" s="231"/>
      <c r="C45" s="109"/>
      <c r="D45" s="205"/>
      <c r="E45" s="108"/>
      <c r="F45" s="108"/>
      <c r="G45" s="109"/>
      <c r="H45" s="205"/>
      <c r="I45" s="109"/>
      <c r="J45" s="205"/>
      <c r="K45" s="108"/>
      <c r="L45" s="108"/>
      <c r="M45" s="108"/>
      <c r="N45" s="109"/>
      <c r="O45" s="100"/>
    </row>
    <row r="46" spans="1:15" ht="22.5" customHeight="1">
      <c r="A46" s="106"/>
      <c r="B46" s="110"/>
      <c r="C46" s="112"/>
      <c r="D46" s="110"/>
      <c r="E46" s="111"/>
      <c r="F46" s="111"/>
      <c r="G46" s="112"/>
      <c r="H46" s="110"/>
      <c r="I46" s="112"/>
      <c r="J46" s="110"/>
      <c r="K46" s="111"/>
      <c r="L46" s="111"/>
      <c r="M46" s="111"/>
      <c r="N46" s="112"/>
      <c r="O46" s="100"/>
    </row>
    <row r="47" spans="1:15" ht="22.5" customHeight="1">
      <c r="A47" s="230" t="b">
        <v>0</v>
      </c>
      <c r="B47" s="231"/>
      <c r="C47" s="109"/>
      <c r="D47" s="205"/>
      <c r="E47" s="108"/>
      <c r="F47" s="108"/>
      <c r="G47" s="109"/>
      <c r="H47" s="205"/>
      <c r="I47" s="109"/>
      <c r="J47" s="205"/>
      <c r="K47" s="108"/>
      <c r="L47" s="108"/>
      <c r="M47" s="108"/>
      <c r="N47" s="109"/>
      <c r="O47" s="100"/>
    </row>
    <row r="48" spans="1:15" ht="21.75" customHeight="1">
      <c r="A48" s="106"/>
      <c r="B48" s="233"/>
      <c r="C48" s="135"/>
      <c r="D48" s="110"/>
      <c r="E48" s="111"/>
      <c r="F48" s="111"/>
      <c r="G48" s="112"/>
      <c r="H48" s="110"/>
      <c r="I48" s="112"/>
      <c r="J48" s="233"/>
      <c r="K48" s="114"/>
      <c r="L48" s="114"/>
      <c r="M48" s="114"/>
      <c r="N48" s="135"/>
      <c r="O48" s="100"/>
    </row>
    <row r="49" spans="1:15" ht="12.75" customHeight="1">
      <c r="A49" s="18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9"/>
      <c r="O49" s="11"/>
    </row>
    <row r="50" spans="1:15" ht="22.5" customHeight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22.5" customHeight="1">
      <c r="A51" s="9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22.5" customHeight="1">
      <c r="A52" s="9"/>
      <c r="B52" s="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22.5" customHeight="1">
      <c r="A53" s="9"/>
      <c r="B53" s="137" t="s">
        <v>370</v>
      </c>
      <c r="C53" s="114"/>
      <c r="D53" s="114"/>
      <c r="E53" s="114"/>
      <c r="F53" s="114"/>
      <c r="G53" s="114"/>
      <c r="H53" s="38"/>
      <c r="I53" s="11"/>
      <c r="J53" s="11"/>
      <c r="K53" s="11"/>
      <c r="L53" s="11"/>
      <c r="M53" s="11"/>
      <c r="N53" s="11"/>
      <c r="O53" s="11"/>
    </row>
    <row r="54" spans="1:15" ht="22.5" customHeight="1" collapsed="1">
      <c r="A54" s="9"/>
      <c r="B54" s="138" t="s">
        <v>155</v>
      </c>
      <c r="C54" s="114"/>
      <c r="D54" s="114"/>
      <c r="E54" s="114"/>
      <c r="F54" s="114"/>
      <c r="G54" s="114"/>
      <c r="H54" s="38"/>
      <c r="I54" s="11"/>
      <c r="J54" s="11"/>
      <c r="K54" s="11"/>
      <c r="L54" s="11"/>
      <c r="M54" s="11"/>
      <c r="N54" s="11"/>
      <c r="O54" s="11"/>
    </row>
    <row r="55" spans="1:15" ht="22.5" hidden="1" customHeight="1" outlineLevel="1">
      <c r="A55" s="9"/>
      <c r="B55" s="97"/>
      <c r="C55" s="38"/>
      <c r="D55" s="38"/>
      <c r="E55" s="38"/>
      <c r="F55" s="38"/>
      <c r="G55" s="38"/>
      <c r="H55" s="38"/>
      <c r="I55" s="11"/>
      <c r="J55" s="11"/>
      <c r="K55" s="11"/>
      <c r="L55" s="11"/>
      <c r="M55" s="11"/>
      <c r="N55" s="11"/>
      <c r="O55" s="11"/>
    </row>
    <row r="56" spans="1:15" ht="22.5" hidden="1" customHeight="1" outlineLevel="1">
      <c r="A56" s="9"/>
      <c r="B56" s="184" t="s">
        <v>663</v>
      </c>
      <c r="C56" s="114"/>
      <c r="D56" s="114"/>
      <c r="E56" s="114"/>
      <c r="F56" s="114"/>
      <c r="G56" s="114"/>
      <c r="H56" s="114"/>
      <c r="I56" s="11"/>
      <c r="J56" s="11"/>
      <c r="K56" s="11"/>
      <c r="L56" s="11"/>
      <c r="M56" s="11"/>
      <c r="N56" s="11"/>
      <c r="O56" s="11"/>
    </row>
    <row r="57" spans="1:15" ht="22.5" hidden="1" customHeight="1" outlineLevel="1">
      <c r="A57" s="9"/>
      <c r="B57" s="185"/>
      <c r="C57" s="114"/>
      <c r="D57" s="114"/>
      <c r="E57" s="114"/>
      <c r="F57" s="114"/>
      <c r="G57" s="114"/>
      <c r="H57" s="114"/>
      <c r="I57" s="11"/>
      <c r="J57" s="11"/>
      <c r="K57" s="11"/>
      <c r="L57" s="11"/>
      <c r="M57" s="11"/>
      <c r="N57" s="11"/>
      <c r="O57" s="11"/>
    </row>
    <row r="58" spans="1:15" ht="22.5" hidden="1" customHeight="1" outlineLevel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ht="22.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22.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22.5" customHeight="1">
      <c r="A62" s="9"/>
      <c r="B62" s="137" t="s">
        <v>414</v>
      </c>
      <c r="C62" s="114"/>
      <c r="D62" s="114"/>
      <c r="E62" s="114"/>
      <c r="F62" s="114"/>
      <c r="G62" s="114"/>
      <c r="H62" s="11"/>
      <c r="I62" s="11"/>
      <c r="J62" s="11"/>
      <c r="K62" s="11"/>
      <c r="L62" s="11"/>
      <c r="M62" s="11"/>
      <c r="N62" s="11"/>
      <c r="O62" s="11"/>
    </row>
    <row r="63" spans="1:15" ht="22.5" customHeight="1" collapsed="1">
      <c r="A63" s="9"/>
      <c r="B63" s="138" t="s">
        <v>155</v>
      </c>
      <c r="C63" s="114"/>
      <c r="D63" s="114"/>
      <c r="E63" s="114"/>
      <c r="F63" s="114"/>
      <c r="G63" s="114"/>
      <c r="H63" s="11"/>
      <c r="I63" s="11"/>
      <c r="J63" s="11"/>
      <c r="K63" s="11"/>
      <c r="L63" s="11"/>
      <c r="M63" s="11"/>
      <c r="N63" s="11"/>
      <c r="O63" s="11"/>
    </row>
    <row r="64" spans="1:15" ht="22.5" hidden="1" customHeight="1" outlineLevel="1">
      <c r="A64" s="9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22.5" hidden="1" customHeight="1" outlineLevel="1">
      <c r="A65" s="9"/>
      <c r="B65" s="211" t="s">
        <v>664</v>
      </c>
      <c r="C65" s="114"/>
      <c r="D65" s="114"/>
      <c r="E65" s="114"/>
      <c r="F65" s="114"/>
      <c r="G65" s="114"/>
      <c r="H65" s="114"/>
      <c r="I65" s="11"/>
      <c r="J65" s="11"/>
      <c r="K65" s="11"/>
      <c r="L65" s="11"/>
      <c r="M65" s="11"/>
      <c r="N65" s="11"/>
      <c r="O65" s="11"/>
    </row>
    <row r="66" spans="1:15" ht="22.5" hidden="1" customHeight="1" outlineLevel="1">
      <c r="A66" s="9"/>
      <c r="B66" s="212"/>
      <c r="C66" s="114"/>
      <c r="D66" s="114"/>
      <c r="E66" s="114"/>
      <c r="F66" s="114"/>
      <c r="G66" s="114"/>
      <c r="H66" s="114"/>
      <c r="I66" s="11"/>
      <c r="J66" s="11"/>
      <c r="K66" s="11"/>
      <c r="L66" s="11"/>
      <c r="M66" s="11"/>
      <c r="N66" s="11"/>
      <c r="O66" s="11"/>
    </row>
    <row r="67" spans="1:15" ht="22.5" hidden="1" customHeight="1" outlineLevel="1">
      <c r="A67" s="9"/>
      <c r="B67" s="212"/>
      <c r="C67" s="114"/>
      <c r="D67" s="114"/>
      <c r="E67" s="114"/>
      <c r="F67" s="114"/>
      <c r="G67" s="114"/>
      <c r="H67" s="114"/>
      <c r="I67" s="11"/>
      <c r="J67" s="11"/>
      <c r="K67" s="11"/>
      <c r="L67" s="11"/>
      <c r="M67" s="11"/>
      <c r="N67" s="11"/>
      <c r="O67" s="11"/>
    </row>
    <row r="68" spans="1:15" ht="22.5" hidden="1" customHeight="1" outlineLevel="1">
      <c r="A68" s="9"/>
      <c r="B68" s="104"/>
      <c r="C68" s="104"/>
      <c r="D68" s="104"/>
      <c r="E68" s="104"/>
      <c r="F68" s="104"/>
      <c r="G68" s="104"/>
      <c r="H68" s="104"/>
      <c r="I68" s="11"/>
      <c r="J68" s="11"/>
      <c r="K68" s="11"/>
      <c r="L68" s="11"/>
      <c r="M68" s="11"/>
      <c r="N68" s="11"/>
      <c r="O68" s="11"/>
    </row>
    <row r="69" spans="1:15" ht="22.5" customHeight="1">
      <c r="A69" s="9"/>
      <c r="B69" s="104"/>
      <c r="C69" s="104"/>
      <c r="D69" s="104"/>
      <c r="E69" s="104"/>
      <c r="F69" s="104"/>
      <c r="G69" s="104"/>
      <c r="H69" s="104"/>
      <c r="I69" s="11"/>
      <c r="J69" s="11"/>
      <c r="K69" s="11"/>
      <c r="L69" s="11"/>
      <c r="M69" s="11"/>
      <c r="N69" s="11"/>
      <c r="O69" s="11"/>
    </row>
    <row r="70" spans="1:15" ht="22.5" customHeight="1">
      <c r="A70" s="9"/>
      <c r="B70" s="104"/>
      <c r="C70" s="104"/>
      <c r="D70" s="104"/>
      <c r="E70" s="104"/>
      <c r="F70" s="104"/>
      <c r="G70" s="104"/>
      <c r="H70" s="104"/>
      <c r="I70" s="11"/>
      <c r="J70" s="11"/>
      <c r="K70" s="11"/>
      <c r="L70" s="11"/>
      <c r="M70" s="11"/>
      <c r="N70" s="11"/>
      <c r="O70" s="11"/>
    </row>
    <row r="71" spans="1:15" ht="22.5" customHeight="1">
      <c r="A71" s="9"/>
      <c r="B71" s="104"/>
      <c r="C71" s="104"/>
      <c r="D71" s="104"/>
      <c r="E71" s="104"/>
      <c r="F71" s="104"/>
      <c r="G71" s="104"/>
      <c r="H71" s="104"/>
      <c r="I71" s="11"/>
      <c r="J71" s="11"/>
      <c r="K71" s="11"/>
      <c r="L71" s="11"/>
      <c r="M71" s="11"/>
      <c r="N71" s="11"/>
      <c r="O71" s="11"/>
    </row>
    <row r="72" spans="1:15" ht="22.5" customHeight="1">
      <c r="A72" s="9"/>
      <c r="B72" s="104"/>
      <c r="C72" s="104"/>
      <c r="D72" s="104"/>
      <c r="E72" s="104"/>
      <c r="F72" s="104"/>
      <c r="G72" s="104"/>
      <c r="H72" s="104"/>
      <c r="I72" s="11"/>
      <c r="J72" s="11"/>
      <c r="K72" s="11"/>
      <c r="L72" s="11"/>
      <c r="M72" s="11"/>
      <c r="N72" s="11"/>
      <c r="O72" s="11"/>
    </row>
    <row r="73" spans="1:15" ht="22.5" customHeight="1">
      <c r="A73" s="9"/>
      <c r="B73" s="104"/>
      <c r="C73" s="104"/>
      <c r="D73" s="104"/>
      <c r="E73" s="104"/>
      <c r="F73" s="104"/>
      <c r="G73" s="104"/>
      <c r="H73" s="104"/>
      <c r="I73" s="11"/>
      <c r="J73" s="11"/>
      <c r="K73" s="11"/>
      <c r="L73" s="11"/>
      <c r="M73" s="11"/>
      <c r="N73" s="11"/>
      <c r="O73" s="11"/>
    </row>
  </sheetData>
  <mergeCells count="106">
    <mergeCell ref="B62:G62"/>
    <mergeCell ref="B63:G63"/>
    <mergeCell ref="B65:H67"/>
    <mergeCell ref="A41:A42"/>
    <mergeCell ref="B41:C42"/>
    <mergeCell ref="D41:G42"/>
    <mergeCell ref="H41:I42"/>
    <mergeCell ref="J41:N42"/>
    <mergeCell ref="D47:G48"/>
    <mergeCell ref="B53:G53"/>
    <mergeCell ref="B54:G54"/>
    <mergeCell ref="B56:H57"/>
    <mergeCell ref="A37:A38"/>
    <mergeCell ref="B37:C38"/>
    <mergeCell ref="D37:G38"/>
    <mergeCell ref="H37:I38"/>
    <mergeCell ref="J37:N38"/>
    <mergeCell ref="A39:A40"/>
    <mergeCell ref="B39:C40"/>
    <mergeCell ref="J39:N40"/>
    <mergeCell ref="D39:G40"/>
    <mergeCell ref="H39:I40"/>
    <mergeCell ref="J31:N32"/>
    <mergeCell ref="A33:A34"/>
    <mergeCell ref="B33:C34"/>
    <mergeCell ref="J33:N34"/>
    <mergeCell ref="D33:G34"/>
    <mergeCell ref="H33:I34"/>
    <mergeCell ref="A35:A36"/>
    <mergeCell ref="B35:C36"/>
    <mergeCell ref="D35:G36"/>
    <mergeCell ref="H35:I36"/>
    <mergeCell ref="J35:N36"/>
    <mergeCell ref="A47:A48"/>
    <mergeCell ref="B47:C48"/>
    <mergeCell ref="H47:I48"/>
    <mergeCell ref="J47:N48"/>
    <mergeCell ref="A49:N49"/>
    <mergeCell ref="A25:A26"/>
    <mergeCell ref="B25:C26"/>
    <mergeCell ref="D25:G26"/>
    <mergeCell ref="H25:I26"/>
    <mergeCell ref="J25:N26"/>
    <mergeCell ref="A27:A28"/>
    <mergeCell ref="B27:C28"/>
    <mergeCell ref="J27:N28"/>
    <mergeCell ref="D27:G28"/>
    <mergeCell ref="H27:I28"/>
    <mergeCell ref="A29:A30"/>
    <mergeCell ref="B29:C30"/>
    <mergeCell ref="D29:G30"/>
    <mergeCell ref="H29:I30"/>
    <mergeCell ref="J29:N30"/>
    <mergeCell ref="A31:A32"/>
    <mergeCell ref="B31:C32"/>
    <mergeCell ref="D31:G32"/>
    <mergeCell ref="H31:I32"/>
    <mergeCell ref="A43:A44"/>
    <mergeCell ref="B43:C44"/>
    <mergeCell ref="D43:G44"/>
    <mergeCell ref="H43:I44"/>
    <mergeCell ref="J43:N44"/>
    <mergeCell ref="A45:A46"/>
    <mergeCell ref="B45:C46"/>
    <mergeCell ref="J45:N46"/>
    <mergeCell ref="D45:G46"/>
    <mergeCell ref="H45:I46"/>
    <mergeCell ref="A23:A24"/>
    <mergeCell ref="B23:C24"/>
    <mergeCell ref="D23:G24"/>
    <mergeCell ref="H23:I24"/>
    <mergeCell ref="J23:N24"/>
    <mergeCell ref="A3:C8"/>
    <mergeCell ref="A11:C11"/>
    <mergeCell ref="A13:C14"/>
    <mergeCell ref="A15:A16"/>
    <mergeCell ref="B15:C16"/>
    <mergeCell ref="A17:A18"/>
    <mergeCell ref="B17:C18"/>
    <mergeCell ref="A19:A20"/>
    <mergeCell ref="B19:C20"/>
    <mergeCell ref="D19:G20"/>
    <mergeCell ref="H19:I20"/>
    <mergeCell ref="J19:N20"/>
    <mergeCell ref="A21:A22"/>
    <mergeCell ref="B21:C22"/>
    <mergeCell ref="D21:G22"/>
    <mergeCell ref="H21:I22"/>
    <mergeCell ref="J21:N22"/>
    <mergeCell ref="E3:N6"/>
    <mergeCell ref="E7:E8"/>
    <mergeCell ref="F7:G8"/>
    <mergeCell ref="I7:I8"/>
    <mergeCell ref="J7:J8"/>
    <mergeCell ref="L7:L8"/>
    <mergeCell ref="M7:N8"/>
    <mergeCell ref="D17:G18"/>
    <mergeCell ref="H17:I18"/>
    <mergeCell ref="J17:N18"/>
    <mergeCell ref="A12:N12"/>
    <mergeCell ref="D13:G14"/>
    <mergeCell ref="H13:I14"/>
    <mergeCell ref="J13:N14"/>
    <mergeCell ref="D15:G16"/>
    <mergeCell ref="H15:I16"/>
    <mergeCell ref="J15:N16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Cronograma</vt:lpstr>
      <vt:lpstr>1.0 Calendário </vt:lpstr>
      <vt:lpstr>2.0 Planejamento de Mídia</vt:lpstr>
      <vt:lpstr>2.1 Diretrizes Produção </vt:lpstr>
      <vt:lpstr>3.0 Estrutura LPs</vt:lpstr>
      <vt:lpstr>3.1 Checklist LPs</vt:lpstr>
      <vt:lpstr>4.0 Mapa Gatilhos Conversão</vt:lpstr>
      <vt:lpstr>4.1 Jornada Pós-Lead</vt:lpstr>
      <vt:lpstr>5.0 Pipeline Comercial</vt:lpstr>
      <vt:lpstr>5.1 Mapa Automações Comerciais</vt:lpstr>
      <vt:lpstr>5.2 Integração CRM + MKT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dcterms:created xsi:type="dcterms:W3CDTF">2025-12-26T17:31:14Z</dcterms:created>
  <dcterms:modified xsi:type="dcterms:W3CDTF">2025-12-26T17:31:15Z</dcterms:modified>
</cp:coreProperties>
</file>