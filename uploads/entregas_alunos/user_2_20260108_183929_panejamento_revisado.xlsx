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 10\Downloads\"/>
    </mc:Choice>
  </mc:AlternateContent>
  <xr:revisionPtr revIDLastSave="0" documentId="8_{07532A1C-8471-4974-9FE4-193FFCE46321}" xr6:coauthVersionLast="47" xr6:coauthVersionMax="47" xr10:uidLastSave="{00000000-0000-0000-0000-000000000000}"/>
  <bookViews>
    <workbookView xWindow="-120" yWindow="-120" windowWidth="20730" windowHeight="11160" xr2:uid="{442F3F31-5AB9-4648-8DD1-61A2186A959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75" i="1" l="1"/>
  <c r="R75" i="1"/>
  <c r="Q75" i="1"/>
  <c r="P75" i="1"/>
  <c r="O75" i="1"/>
  <c r="N75" i="1"/>
  <c r="M75" i="1"/>
  <c r="L75" i="1"/>
  <c r="K75" i="1"/>
  <c r="J75" i="1"/>
  <c r="I75" i="1"/>
  <c r="H75" i="1"/>
  <c r="G75" i="1"/>
  <c r="S75" i="1" s="1"/>
  <c r="F75" i="1"/>
  <c r="E75" i="1"/>
  <c r="R68" i="1"/>
  <c r="Q68" i="1"/>
  <c r="P68" i="1"/>
  <c r="O68" i="1"/>
  <c r="N68" i="1"/>
  <c r="M68" i="1"/>
  <c r="L68" i="1"/>
  <c r="L77" i="1" s="1"/>
  <c r="K68" i="1"/>
  <c r="J68" i="1"/>
  <c r="I68" i="1"/>
  <c r="H68" i="1"/>
  <c r="G68" i="1"/>
  <c r="S68" i="1" s="1"/>
  <c r="F68" i="1"/>
  <c r="E68" i="1"/>
  <c r="U63" i="1"/>
  <c r="U68" i="1" s="1"/>
  <c r="R61" i="1"/>
  <c r="Q61" i="1"/>
  <c r="P61" i="1"/>
  <c r="O61" i="1"/>
  <c r="N61" i="1"/>
  <c r="M61" i="1"/>
  <c r="L61" i="1"/>
  <c r="K61" i="1"/>
  <c r="J61" i="1"/>
  <c r="I61" i="1"/>
  <c r="H61" i="1"/>
  <c r="G61" i="1"/>
  <c r="S61" i="1" s="1"/>
  <c r="F61" i="1"/>
  <c r="E61" i="1"/>
  <c r="U57" i="1"/>
  <c r="U56" i="1"/>
  <c r="U61" i="1" s="1"/>
  <c r="R54" i="1"/>
  <c r="Q54" i="1"/>
  <c r="P54" i="1"/>
  <c r="O54" i="1"/>
  <c r="N54" i="1"/>
  <c r="M54" i="1"/>
  <c r="L54" i="1"/>
  <c r="K54" i="1"/>
  <c r="J54" i="1"/>
  <c r="I54" i="1"/>
  <c r="H54" i="1"/>
  <c r="G54" i="1"/>
  <c r="S54" i="1" s="1"/>
  <c r="F54" i="1"/>
  <c r="E54" i="1"/>
  <c r="U51" i="1"/>
  <c r="U50" i="1"/>
  <c r="U49" i="1"/>
  <c r="U54" i="1" s="1"/>
  <c r="R47" i="1"/>
  <c r="R77" i="1" s="1"/>
  <c r="Q47" i="1"/>
  <c r="Q77" i="1" s="1"/>
  <c r="P47" i="1"/>
  <c r="P77" i="1" s="1"/>
  <c r="O47" i="1"/>
  <c r="O77" i="1" s="1"/>
  <c r="N47" i="1"/>
  <c r="N77" i="1" s="1"/>
  <c r="M47" i="1"/>
  <c r="M77" i="1" s="1"/>
  <c r="L47" i="1"/>
  <c r="K47" i="1"/>
  <c r="K77" i="1" s="1"/>
  <c r="J47" i="1"/>
  <c r="J77" i="1" s="1"/>
  <c r="I47" i="1"/>
  <c r="I77" i="1" s="1"/>
  <c r="H47" i="1"/>
  <c r="H77" i="1" s="1"/>
  <c r="G47" i="1"/>
  <c r="G77" i="1" s="1"/>
  <c r="F47" i="1"/>
  <c r="E47" i="1"/>
  <c r="U44" i="1"/>
  <c r="U43" i="1"/>
  <c r="U42" i="1"/>
  <c r="U47" i="1" s="1"/>
  <c r="D28" i="1"/>
  <c r="F27" i="1" s="1"/>
  <c r="F19" i="1"/>
  <c r="S77" i="1" l="1"/>
  <c r="F21" i="1"/>
  <c r="F23" i="1"/>
  <c r="S47" i="1"/>
  <c r="F77" i="1"/>
  <c r="F20" i="1"/>
  <c r="F28" i="1" s="1"/>
  <c r="E77" i="1" s="1"/>
  <c r="F22" i="1"/>
  <c r="F24" i="1"/>
  <c r="F25" i="1"/>
  <c r="F26" i="1"/>
</calcChain>
</file>

<file path=xl/sharedStrings.xml><?xml version="1.0" encoding="utf-8"?>
<sst xmlns="http://schemas.openxmlformats.org/spreadsheetml/2006/main" count="90" uniqueCount="65">
  <si>
    <t>2.0 Planejamento de Mídia</t>
  </si>
  <si>
    <t>Startup:</t>
  </si>
  <si>
    <t>ClínicaTech (SaaS B2B)</t>
  </si>
  <si>
    <t>Fase:</t>
  </si>
  <si>
    <t>Q2</t>
  </si>
  <si>
    <t>Status</t>
  </si>
  <si>
    <t>Finalizado</t>
  </si>
  <si>
    <t>Planejamento de Mídia - Distribuição Canais</t>
  </si>
  <si>
    <t>SHARE TOTAL</t>
  </si>
  <si>
    <t>VEÍCULOS</t>
  </si>
  <si>
    <t>ORÇAMENTO</t>
  </si>
  <si>
    <t>DISTRIBUIÇÃO</t>
  </si>
  <si>
    <t>Google Ads</t>
  </si>
  <si>
    <t>Meta Ads</t>
  </si>
  <si>
    <t>LinkedIn Ads</t>
  </si>
  <si>
    <t>YouTube Ads</t>
  </si>
  <si>
    <t>TOTAL</t>
  </si>
  <si>
    <t>1ª FASE</t>
  </si>
  <si>
    <t>2ª FASE</t>
  </si>
  <si>
    <t>3ª FASE</t>
  </si>
  <si>
    <t>4ª FASE</t>
  </si>
  <si>
    <t>TIPO DE COMPRA</t>
  </si>
  <si>
    <t>FORMATOS</t>
  </si>
  <si>
    <t>%</t>
  </si>
  <si>
    <t>ORÇAMENTO TOTAL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</si>
  <si>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</si>
  <si>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</si>
  <si>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</si>
  <si>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</si>
  <si>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</si>
  <si>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</si>
  <si>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</si>
  <si>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</si>
  <si>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</si>
  <si>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</si>
  <si>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</si>
  <si>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</si>
  <si>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KPI</t>
  </si>
  <si>
    <t>META</t>
  </si>
  <si>
    <t>VALOR META</t>
  </si>
  <si>
    <t>CPC</t>
  </si>
  <si>
    <t>Search</t>
  </si>
  <si>
    <t>Leads</t>
  </si>
  <si>
    <t>Display</t>
  </si>
  <si>
    <t>Conversão</t>
  </si>
  <si>
    <t>CPV</t>
  </si>
  <si>
    <t>Video</t>
  </si>
  <si>
    <t>-</t>
  </si>
  <si>
    <t>Impressões</t>
  </si>
  <si>
    <t>TOTAL GOOGLE ADS</t>
  </si>
  <si>
    <t>Carrossel</t>
  </si>
  <si>
    <t>Stories</t>
  </si>
  <si>
    <t>Views</t>
  </si>
  <si>
    <t>TOTAL META ADS</t>
  </si>
  <si>
    <t>InMail</t>
  </si>
  <si>
    <t>Content</t>
  </si>
  <si>
    <t>TOTAL LINKEDIN ADS</t>
  </si>
  <si>
    <t>Tráfego</t>
  </si>
  <si>
    <t>TOTAL YOUTUBE ADS</t>
  </si>
  <si>
    <t>INVESTIMENTO TOTAL</t>
  </si>
  <si>
    <t>Conceito Planejamento de Mídia</t>
  </si>
  <si>
    <t>⬅️ Clique no sinal de + para visualizar o conteúdo</t>
  </si>
  <si>
    <t>Como usar o Template de Planejamento de Mídia</t>
  </si>
  <si>
    <t>Escolha seus canais com base no público e objetivo.
Distribua a verba entre canais e formatos.
Defina metas realistas e mensuráveis.
Acompanhe mês a mês o desempenho e faça ajustes.</t>
  </si>
  <si>
    <t>O segredo de um bom plano de mídia não é gastar mais, é investir melhor.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</si>
</sst>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$]#,##0.00"/>
  </numFmts>
  <fonts count="27">
    <font>
      <sz val="11"/>
      <color theme="1"/>
      <name val="Calibri"/>
      <family val="2"/>
      <scheme val="minor"/>
    </font>
    <font>
      <sz val="24"/>
      <color rgb="FFFFFFFF"/>
      <name val="Helvetica Neue"/>
    </font>
    <font>
      <sz val="10"/>
      <color theme="1"/>
      <name val="Calibri"/>
      <scheme val="minor"/>
    </font>
    <font>
      <sz val="16"/>
      <color rgb="FFFFFFFF"/>
      <name val="Calibri"/>
      <scheme val="minor"/>
    </font>
    <font>
      <sz val="10"/>
      <name val="Arial"/>
    </font>
    <font>
      <sz val="12"/>
      <color rgb="FFFFFFFF"/>
      <name val="Calibri"/>
      <scheme val="minor"/>
    </font>
    <font>
      <sz val="10"/>
      <color theme="1"/>
      <name val="Arial"/>
    </font>
    <font>
      <sz val="18"/>
      <color rgb="FFFFFFFF"/>
      <name val="Inter"/>
    </font>
    <font>
      <b/>
      <sz val="10"/>
      <color rgb="FFFFFFFF"/>
      <name val="Calibri"/>
      <scheme val="minor"/>
    </font>
    <font>
      <b/>
      <sz val="10"/>
      <color rgb="FFF3F3F3"/>
      <name val="Arial"/>
    </font>
    <font>
      <sz val="9"/>
      <color rgb="FFFFFFFF"/>
      <name val="Arial"/>
    </font>
    <font>
      <sz val="10"/>
      <color rgb="FF666666"/>
      <name val="Arial"/>
    </font>
    <font>
      <b/>
      <sz val="10"/>
      <color rgb="FFFFFFFF"/>
      <name val="Arial"/>
    </font>
    <font>
      <sz val="10"/>
      <color rgb="FFFFFFFF"/>
      <name val="Arial"/>
    </font>
    <font>
      <b/>
      <sz val="7"/>
      <color rgb="FFFFFFFF"/>
      <name val="Verdana"/>
    </font>
    <font>
      <sz val="8"/>
      <color rgb="FFFFFFFF"/>
      <name val="Verdana"/>
    </font>
    <font>
      <b/>
      <sz val="8"/>
      <color rgb="FFFFFFFF"/>
      <name val="Calibri"/>
      <scheme val="minor"/>
    </font>
    <font>
      <sz val="8"/>
      <color rgb="FF351C75"/>
      <name val="Verdana"/>
    </font>
    <font>
      <b/>
      <sz val="6"/>
      <color rgb="FF351C75"/>
      <name val="Verdana"/>
    </font>
    <font>
      <sz val="8"/>
      <color theme="1"/>
      <name val="Verdana"/>
    </font>
    <font>
      <sz val="8"/>
      <color theme="1"/>
      <name val="Calibri"/>
      <scheme val="minor"/>
    </font>
    <font>
      <sz val="8"/>
      <color rgb="FFFFFFFF"/>
      <name val="Calibri"/>
      <scheme val="minor"/>
    </font>
    <font>
      <b/>
      <sz val="8"/>
      <color theme="1"/>
      <name val="Calibri"/>
      <scheme val="minor"/>
    </font>
    <font>
      <b/>
      <sz val="10"/>
      <color theme="1"/>
      <name val="Calibri"/>
      <scheme val="minor"/>
    </font>
    <font>
      <b/>
      <sz val="18"/>
      <color rgb="FF666666"/>
      <name val="Calibri"/>
      <scheme val="minor"/>
    </font>
    <font>
      <sz val="10"/>
      <color rgb="FF666666"/>
      <name val="Calibri"/>
      <scheme val="minor"/>
    </font>
    <font>
      <b/>
      <sz val="10"/>
      <color rgb="FF666666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6B3C4"/>
        <bgColor rgb="FF06B3C4"/>
      </patternFill>
    </fill>
    <fill>
      <patternFill patternType="solid">
        <fgColor rgb="FF93D5E0"/>
        <bgColor rgb="FF93D5E0"/>
      </patternFill>
    </fill>
    <fill>
      <patternFill patternType="solid">
        <fgColor rgb="FFECFAFB"/>
        <bgColor rgb="FFECFAFB"/>
      </patternFill>
    </fill>
  </fills>
  <borders count="57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93D5E0"/>
      </left>
      <right/>
      <top/>
      <bottom/>
      <diagonal/>
    </border>
    <border>
      <left/>
      <right style="thin">
        <color rgb="FF93D5E0"/>
      </right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/>
      <top/>
      <bottom style="thin">
        <color rgb="FF93D5E0"/>
      </bottom>
      <diagonal/>
    </border>
    <border>
      <left/>
      <right/>
      <top/>
      <bottom style="thin">
        <color rgb="FF93D5E0"/>
      </bottom>
      <diagonal/>
    </border>
    <border>
      <left/>
      <right style="thin">
        <color rgb="FF93D5E0"/>
      </right>
      <top/>
      <bottom style="thin">
        <color rgb="FF93D5E0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93D5E0"/>
      </left>
      <right style="thin">
        <color rgb="FFFFFFFF"/>
      </right>
      <top style="thin">
        <color rgb="FF93D5E0"/>
      </top>
      <bottom/>
      <diagonal/>
    </border>
    <border>
      <left style="thin">
        <color rgb="FFFFFFFF"/>
      </left>
      <right style="thin">
        <color rgb="FFFFFFFF"/>
      </right>
      <top style="thin">
        <color rgb="FF93D5E0"/>
      </top>
      <bottom/>
      <diagonal/>
    </border>
    <border>
      <left style="thin">
        <color rgb="FFFFFFFF"/>
      </left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93D5E0"/>
      </right>
      <top/>
      <bottom style="thin">
        <color rgb="FFFFFFFF"/>
      </bottom>
      <diagonal/>
    </border>
    <border>
      <left style="thin">
        <color rgb="FF93D5E0"/>
      </left>
      <right style="thin">
        <color rgb="FFFFFFFF"/>
      </right>
      <top style="thin">
        <color rgb="FFFFFFFF"/>
      </top>
      <bottom/>
      <diagonal/>
    </border>
    <border>
      <left/>
      <right style="thin">
        <color rgb="FF93D5E0"/>
      </right>
      <top style="thin">
        <color rgb="FFFFFFFF"/>
      </top>
      <bottom style="thin">
        <color rgb="FFFFFFFF"/>
      </bottom>
      <diagonal/>
    </border>
    <border>
      <left/>
      <right style="thin">
        <color rgb="FF93D5E0"/>
      </right>
      <top style="thin">
        <color rgb="FFFFFFFF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FFFFFF"/>
      </top>
      <bottom style="thin">
        <color rgb="FF93D5E0"/>
      </bottom>
      <diagonal/>
    </border>
    <border>
      <left style="thin">
        <color rgb="FF93D5E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93D5E0"/>
      </right>
      <top style="thin">
        <color rgb="FFFFFFFF"/>
      </top>
      <bottom style="thin">
        <color rgb="FFFFFFFF"/>
      </bottom>
      <diagonal/>
    </border>
    <border>
      <left style="thin">
        <color rgb="FF93D5E0"/>
      </left>
      <right style="thin">
        <color rgb="FFFFFFFF"/>
      </right>
      <top/>
      <bottom/>
      <diagonal/>
    </border>
    <border>
      <left/>
      <right style="thin">
        <color rgb="FF93D5E0"/>
      </right>
      <top style="thin">
        <color rgb="FF93D5E0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93D5E0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/>
      <diagonal/>
    </border>
    <border>
      <left/>
      <right style="thin">
        <color rgb="FF93D5E0"/>
      </right>
      <top style="thin">
        <color rgb="FFFFFFFF"/>
      </top>
      <bottom/>
      <diagonal/>
    </border>
    <border>
      <left/>
      <right style="thin">
        <color rgb="FF93D5E0"/>
      </right>
      <top style="thin">
        <color rgb="FF93D5E0"/>
      </top>
      <bottom style="thin">
        <color rgb="FFFFFFFF"/>
      </bottom>
      <diagonal/>
    </border>
    <border>
      <left style="thin">
        <color rgb="FF93D5E0"/>
      </left>
      <right style="thin">
        <color rgb="FF93D5E0"/>
      </right>
      <top style="thin">
        <color rgb="FF93D5E0"/>
      </top>
      <bottom style="thin">
        <color rgb="FFFFFFFF"/>
      </bottom>
      <diagonal/>
    </border>
    <border>
      <left style="thin">
        <color rgb="FF93D5E0"/>
      </left>
      <right/>
      <top style="thin">
        <color rgb="FFFFFFFF"/>
      </top>
      <bottom style="thin">
        <color rgb="FF93D5E0"/>
      </bottom>
      <diagonal/>
    </border>
    <border>
      <left/>
      <right/>
      <top style="thin">
        <color rgb="FFFFFFFF"/>
      </top>
      <bottom style="thin">
        <color rgb="FF93D5E0"/>
      </bottom>
      <diagonal/>
    </border>
    <border>
      <left/>
      <right style="thin">
        <color rgb="FFFFFFFF"/>
      </right>
      <top style="thin">
        <color rgb="FFFFFFFF"/>
      </top>
      <bottom style="thin">
        <color rgb="FF93D5E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93D5E0"/>
      </bottom>
      <diagonal/>
    </border>
    <border>
      <left style="thin">
        <color rgb="FFFFFFFF"/>
      </left>
      <right style="thin">
        <color rgb="FF93D5E0"/>
      </right>
      <top style="thin">
        <color rgb="FFFFFFFF"/>
      </top>
      <bottom style="thin">
        <color rgb="FF93D5E0"/>
      </bottom>
      <diagonal/>
    </border>
    <border>
      <left style="thin">
        <color rgb="FFFFFFFF"/>
      </left>
      <right style="thin">
        <color rgb="FFFFFFFF"/>
      </right>
      <top style="thin">
        <color rgb="FF93D5E0"/>
      </top>
      <bottom style="thin">
        <color rgb="FFFFFFFF"/>
      </bottom>
      <diagonal/>
    </border>
    <border>
      <left style="thin">
        <color rgb="FF93D5E0"/>
      </left>
      <right/>
      <top style="thin">
        <color rgb="FF93D5E0"/>
      </top>
      <bottom style="thin">
        <color rgb="FF93D5E0"/>
      </bottom>
      <diagonal/>
    </border>
    <border>
      <left style="thin">
        <color rgb="FF93D5E0"/>
      </left>
      <right style="thin">
        <color rgb="FFFFFFFF"/>
      </right>
      <top style="thin">
        <color rgb="FF93D5E0"/>
      </top>
      <bottom style="thin">
        <color rgb="FFFFFFFF"/>
      </bottom>
      <diagonal/>
    </border>
    <border>
      <left style="thin">
        <color rgb="FFFFFFFF"/>
      </left>
      <right style="thin">
        <color rgb="FF93D5E0"/>
      </right>
      <top style="thin">
        <color rgb="FF93D5E0"/>
      </top>
      <bottom style="thin">
        <color rgb="FFFFFFFF"/>
      </bottom>
      <diagonal/>
    </border>
    <border>
      <left/>
      <right style="thin">
        <color rgb="FF93D5E0"/>
      </right>
      <top style="thin">
        <color rgb="FF93D5E0"/>
      </top>
      <bottom/>
      <diagonal/>
    </border>
    <border>
      <left style="thin">
        <color rgb="FF93D5E0"/>
      </left>
      <right/>
      <top style="thin">
        <color rgb="FF93D5E0"/>
      </top>
      <bottom/>
      <diagonal/>
    </border>
    <border>
      <left style="thin">
        <color rgb="FF93D5E0"/>
      </left>
      <right/>
      <top style="thin">
        <color rgb="FF93D5E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93D5E0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/>
      <bottom/>
      <diagonal/>
    </border>
    <border>
      <left style="thin">
        <color rgb="FF06B3C4"/>
      </left>
      <right/>
      <top style="thin">
        <color rgb="FFFFFFFF"/>
      </top>
      <bottom/>
      <diagonal/>
    </border>
    <border>
      <left style="thin">
        <color rgb="FF06B3C4"/>
      </left>
      <right/>
      <top/>
      <bottom/>
      <diagonal/>
    </border>
    <border>
      <left style="thin">
        <color rgb="FF06B3C4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0" xfId="0"/>
    <xf numFmtId="0" fontId="3" fillId="3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5" fillId="4" borderId="10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vertical="center"/>
    </xf>
    <xf numFmtId="0" fontId="4" fillId="0" borderId="11" xfId="0" applyFont="1" applyBorder="1"/>
    <xf numFmtId="0" fontId="1" fillId="2" borderId="12" xfId="0" applyFont="1" applyFill="1" applyBorder="1" applyAlignment="1">
      <alignment horizontal="center" vertical="center"/>
    </xf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1" fillId="2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4" fillId="0" borderId="18" xfId="0" applyFont="1" applyBorder="1"/>
    <xf numFmtId="0" fontId="4" fillId="0" borderId="12" xfId="0" applyFont="1" applyBorder="1"/>
    <xf numFmtId="0" fontId="2" fillId="2" borderId="1" xfId="0" applyFont="1" applyFill="1" applyBorder="1"/>
    <xf numFmtId="0" fontId="2" fillId="0" borderId="1" xfId="0" applyFont="1" applyBorder="1"/>
    <xf numFmtId="0" fontId="8" fillId="2" borderId="1" xfId="0" applyFont="1" applyFill="1" applyBorder="1" applyAlignment="1">
      <alignment horizontal="center"/>
    </xf>
    <xf numFmtId="0" fontId="9" fillId="3" borderId="1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0" fontId="11" fillId="5" borderId="17" xfId="0" applyFont="1" applyFill="1" applyBorder="1" applyAlignment="1">
      <alignment horizontal="center" vertical="center"/>
    </xf>
    <xf numFmtId="164" fontId="11" fillId="5" borderId="17" xfId="0" applyNumberFormat="1" applyFont="1" applyFill="1" applyBorder="1" applyAlignment="1">
      <alignment horizontal="center" vertical="center"/>
    </xf>
    <xf numFmtId="10" fontId="11" fillId="5" borderId="17" xfId="0" applyNumberFormat="1" applyFont="1" applyFill="1" applyBorder="1" applyAlignment="1">
      <alignment horizontal="center" vertical="center"/>
    </xf>
    <xf numFmtId="0" fontId="12" fillId="3" borderId="17" xfId="0" applyFont="1" applyFill="1" applyBorder="1" applyAlignment="1">
      <alignment horizontal="center" vertical="center"/>
    </xf>
    <xf numFmtId="164" fontId="13" fillId="3" borderId="17" xfId="0" applyNumberFormat="1" applyFont="1" applyFill="1" applyBorder="1" applyAlignment="1">
      <alignment horizontal="center" vertical="center"/>
    </xf>
    <xf numFmtId="10" fontId="13" fillId="3" borderId="17" xfId="0" applyNumberFormat="1" applyFont="1" applyFill="1" applyBorder="1" applyAlignment="1">
      <alignment horizontal="center" vertical="center"/>
    </xf>
    <xf numFmtId="0" fontId="2" fillId="0" borderId="19" xfId="0" applyFont="1" applyBorder="1"/>
    <xf numFmtId="0" fontId="8" fillId="4" borderId="8" xfId="0" applyFont="1" applyFill="1" applyBorder="1" applyAlignment="1">
      <alignment horizontal="center"/>
    </xf>
    <xf numFmtId="0" fontId="8" fillId="3" borderId="7" xfId="0" applyFont="1" applyFill="1" applyBorder="1" applyAlignment="1">
      <alignment horizontal="center"/>
    </xf>
    <xf numFmtId="0" fontId="8" fillId="4" borderId="7" xfId="0" applyFont="1" applyFill="1" applyBorder="1" applyAlignment="1">
      <alignment horizontal="center"/>
    </xf>
    <xf numFmtId="0" fontId="2" fillId="2" borderId="17" xfId="0" applyFont="1" applyFill="1" applyBorder="1"/>
    <xf numFmtId="0" fontId="14" fillId="3" borderId="20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5" fillId="4" borderId="19" xfId="0" applyFont="1" applyFill="1" applyBorder="1" applyAlignment="1">
      <alignment horizontal="center" vertical="center"/>
    </xf>
    <xf numFmtId="0" fontId="15" fillId="3" borderId="19" xfId="0" applyFont="1" applyFill="1" applyBorder="1" applyAlignment="1">
      <alignment horizontal="center" vertical="center"/>
    </xf>
    <xf numFmtId="0" fontId="16" fillId="3" borderId="21" xfId="0" applyFont="1" applyFill="1" applyBorder="1" applyAlignment="1">
      <alignment horizontal="center" vertical="center"/>
    </xf>
    <xf numFmtId="0" fontId="16" fillId="3" borderId="22" xfId="0" applyFont="1" applyFill="1" applyBorder="1" applyAlignment="1">
      <alignment horizontal="center" vertical="center"/>
    </xf>
    <xf numFmtId="0" fontId="2" fillId="0" borderId="12" xfId="0" applyFont="1" applyBorder="1"/>
    <xf numFmtId="0" fontId="4" fillId="0" borderId="23" xfId="0" applyFont="1" applyBorder="1"/>
    <xf numFmtId="0" fontId="4" fillId="0" borderId="16" xfId="0" applyFont="1" applyBorder="1"/>
    <xf numFmtId="0" fontId="4" fillId="0" borderId="24" xfId="0" applyFont="1" applyBorder="1"/>
    <xf numFmtId="0" fontId="17" fillId="5" borderId="25" xfId="0" applyFont="1" applyFill="1" applyBorder="1" applyAlignment="1">
      <alignment horizontal="center" vertical="center" wrapText="1"/>
    </xf>
    <xf numFmtId="0" fontId="18" fillId="5" borderId="1" xfId="0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10" fontId="19" fillId="5" borderId="1" xfId="0" applyNumberFormat="1" applyFont="1" applyFill="1" applyBorder="1" applyAlignment="1">
      <alignment horizontal="center" vertical="center"/>
    </xf>
    <xf numFmtId="164" fontId="19" fillId="5" borderId="26" xfId="0" applyNumberFormat="1" applyFont="1" applyFill="1" applyBorder="1" applyAlignment="1">
      <alignment horizontal="center" vertical="center"/>
    </xf>
    <xf numFmtId="164" fontId="19" fillId="2" borderId="27" xfId="0" applyNumberFormat="1" applyFont="1" applyFill="1" applyBorder="1" applyAlignment="1">
      <alignment horizontal="center" vertical="center"/>
    </xf>
    <xf numFmtId="164" fontId="19" fillId="2" borderId="28" xfId="0" applyNumberFormat="1" applyFont="1" applyFill="1" applyBorder="1" applyAlignment="1">
      <alignment horizontal="center" vertical="center"/>
    </xf>
    <xf numFmtId="0" fontId="17" fillId="5" borderId="29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164" fontId="19" fillId="5" borderId="30" xfId="0" applyNumberFormat="1" applyFont="1" applyFill="1" applyBorder="1" applyAlignment="1">
      <alignment horizontal="center" vertical="center"/>
    </xf>
    <xf numFmtId="0" fontId="4" fillId="0" borderId="31" xfId="0" applyFont="1" applyBorder="1"/>
    <xf numFmtId="164" fontId="19" fillId="2" borderId="32" xfId="0" applyNumberFormat="1" applyFont="1" applyFill="1" applyBorder="1" applyAlignment="1">
      <alignment horizontal="center" vertical="center"/>
    </xf>
    <xf numFmtId="164" fontId="19" fillId="2" borderId="33" xfId="0" applyNumberFormat="1" applyFont="1" applyFill="1" applyBorder="1" applyAlignment="1">
      <alignment horizontal="center" vertical="center"/>
    </xf>
    <xf numFmtId="164" fontId="19" fillId="2" borderId="34" xfId="0" applyNumberFormat="1" applyFont="1" applyFill="1" applyBorder="1" applyAlignment="1">
      <alignment horizontal="center" vertical="center"/>
    </xf>
    <xf numFmtId="164" fontId="19" fillId="5" borderId="35" xfId="0" applyNumberFormat="1" applyFont="1" applyFill="1" applyBorder="1" applyAlignment="1">
      <alignment horizontal="center" vertical="center"/>
    </xf>
    <xf numFmtId="164" fontId="19" fillId="2" borderId="36" xfId="0" applyNumberFormat="1" applyFont="1" applyFill="1" applyBorder="1" applyAlignment="1">
      <alignment horizontal="center" vertical="center"/>
    </xf>
    <xf numFmtId="164" fontId="19" fillId="2" borderId="37" xfId="0" applyNumberFormat="1" applyFont="1" applyFill="1" applyBorder="1" applyAlignment="1">
      <alignment horizontal="center" vertical="center"/>
    </xf>
    <xf numFmtId="0" fontId="21" fillId="4" borderId="38" xfId="0" applyFont="1" applyFill="1" applyBorder="1" applyAlignment="1">
      <alignment horizontal="center" vertical="center"/>
    </xf>
    <xf numFmtId="0" fontId="4" fillId="0" borderId="39" xfId="0" applyFont="1" applyBorder="1"/>
    <xf numFmtId="0" fontId="4" fillId="0" borderId="40" xfId="0" applyFont="1" applyBorder="1"/>
    <xf numFmtId="10" fontId="21" fillId="4" borderId="41" xfId="0" applyNumberFormat="1" applyFont="1" applyFill="1" applyBorder="1" applyAlignment="1">
      <alignment horizontal="center" vertical="center"/>
    </xf>
    <xf numFmtId="164" fontId="21" fillId="4" borderId="41" xfId="0" applyNumberFormat="1" applyFont="1" applyFill="1" applyBorder="1" applyAlignment="1">
      <alignment horizontal="center" vertical="center"/>
    </xf>
    <xf numFmtId="164" fontId="19" fillId="4" borderId="41" xfId="0" applyNumberFormat="1" applyFont="1" applyFill="1" applyBorder="1" applyAlignment="1">
      <alignment horizontal="center" vertical="center"/>
    </xf>
    <xf numFmtId="164" fontId="22" fillId="4" borderId="41" xfId="0" applyNumberFormat="1" applyFont="1" applyFill="1" applyBorder="1" applyAlignment="1">
      <alignment horizontal="center" vertical="center"/>
    </xf>
    <xf numFmtId="0" fontId="19" fillId="4" borderId="41" xfId="0" applyFont="1" applyFill="1" applyBorder="1" applyAlignment="1">
      <alignment horizontal="center" vertical="center"/>
    </xf>
    <xf numFmtId="164" fontId="19" fillId="4" borderId="42" xfId="0" applyNumberFormat="1" applyFont="1" applyFill="1" applyBorder="1" applyAlignment="1">
      <alignment horizontal="center" vertical="center"/>
    </xf>
    <xf numFmtId="0" fontId="20" fillId="0" borderId="8" xfId="0" applyFont="1" applyBorder="1"/>
    <xf numFmtId="0" fontId="17" fillId="5" borderId="20" xfId="0" applyFont="1" applyFill="1" applyBorder="1" applyAlignment="1">
      <alignment horizontal="center" vertical="center" wrapText="1"/>
    </xf>
    <xf numFmtId="0" fontId="18" fillId="5" borderId="43" xfId="0" applyFont="1" applyFill="1" applyBorder="1" applyAlignment="1">
      <alignment horizontal="center" vertical="center"/>
    </xf>
    <xf numFmtId="0" fontId="17" fillId="5" borderId="43" xfId="0" applyFont="1" applyFill="1" applyBorder="1" applyAlignment="1">
      <alignment horizontal="center" vertical="center" wrapText="1"/>
    </xf>
    <xf numFmtId="10" fontId="19" fillId="5" borderId="43" xfId="0" applyNumberFormat="1" applyFont="1" applyFill="1" applyBorder="1" applyAlignment="1">
      <alignment horizontal="center" vertical="center"/>
    </xf>
    <xf numFmtId="164" fontId="19" fillId="5" borderId="36" xfId="0" applyNumberFormat="1" applyFont="1" applyFill="1" applyBorder="1" applyAlignment="1">
      <alignment horizontal="center" vertical="center"/>
    </xf>
    <xf numFmtId="164" fontId="19" fillId="2" borderId="44" xfId="0" applyNumberFormat="1" applyFont="1" applyFill="1" applyBorder="1" applyAlignment="1">
      <alignment horizontal="center" vertical="center"/>
    </xf>
    <xf numFmtId="0" fontId="17" fillId="5" borderId="45" xfId="0" applyFont="1" applyFill="1" applyBorder="1" applyAlignment="1">
      <alignment horizontal="center" vertical="center"/>
    </xf>
    <xf numFmtId="0" fontId="20" fillId="5" borderId="43" xfId="0" applyFont="1" applyFill="1" applyBorder="1" applyAlignment="1">
      <alignment horizontal="center" vertical="center"/>
    </xf>
    <xf numFmtId="164" fontId="19" fillId="5" borderId="46" xfId="0" applyNumberFormat="1" applyFont="1" applyFill="1" applyBorder="1" applyAlignment="1">
      <alignment horizontal="center" vertical="center"/>
    </xf>
    <xf numFmtId="0" fontId="17" fillId="5" borderId="1" xfId="0" applyFont="1" applyFill="1" applyBorder="1" applyAlignment="1">
      <alignment horizontal="center" vertical="center" wrapText="1"/>
    </xf>
    <xf numFmtId="164" fontId="19" fillId="2" borderId="47" xfId="0" applyNumberFormat="1" applyFont="1" applyFill="1" applyBorder="1" applyAlignment="1">
      <alignment horizontal="center" vertical="center"/>
    </xf>
    <xf numFmtId="164" fontId="19" fillId="2" borderId="48" xfId="0" applyNumberFormat="1" applyFont="1" applyFill="1" applyBorder="1" applyAlignment="1">
      <alignment horizontal="center" vertical="center"/>
    </xf>
    <xf numFmtId="164" fontId="19" fillId="2" borderId="49" xfId="0" applyNumberFormat="1" applyFont="1" applyFill="1" applyBorder="1" applyAlignment="1">
      <alignment horizontal="center" vertical="center"/>
    </xf>
    <xf numFmtId="164" fontId="19" fillId="4" borderId="50" xfId="0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4" fillId="0" borderId="51" xfId="0" applyFont="1" applyBorder="1"/>
    <xf numFmtId="10" fontId="21" fillId="3" borderId="52" xfId="0" applyNumberFormat="1" applyFont="1" applyFill="1" applyBorder="1" applyAlignment="1">
      <alignment horizontal="center" vertical="center"/>
    </xf>
    <xf numFmtId="164" fontId="16" fillId="3" borderId="52" xfId="0" applyNumberFormat="1" applyFont="1" applyFill="1" applyBorder="1" applyAlignment="1">
      <alignment horizontal="center" vertical="center"/>
    </xf>
    <xf numFmtId="164" fontId="23" fillId="3" borderId="53" xfId="0" applyNumberFormat="1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left" vertical="center" wrapText="1"/>
    </xf>
    <xf numFmtId="0" fontId="25" fillId="2" borderId="3" xfId="0" applyFont="1" applyFill="1" applyBorder="1" applyAlignment="1">
      <alignment horizontal="left" vertical="center" wrapText="1"/>
    </xf>
    <xf numFmtId="0" fontId="26" fillId="0" borderId="17" xfId="0" applyFont="1" applyBorder="1"/>
    <xf numFmtId="0" fontId="25" fillId="0" borderId="1" xfId="0" applyFont="1" applyBorder="1"/>
    <xf numFmtId="0" fontId="2" fillId="0" borderId="17" xfId="0" applyFont="1" applyBorder="1"/>
    <xf numFmtId="0" fontId="25" fillId="0" borderId="54" xfId="0" applyFont="1" applyBorder="1" applyAlignment="1">
      <alignment vertical="center"/>
    </xf>
    <xf numFmtId="0" fontId="4" fillId="0" borderId="55" xfId="0" applyFont="1" applyBorder="1"/>
    <xf numFmtId="0" fontId="4" fillId="0" borderId="5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819150</xdr:colOff>
      <xdr:row>15</xdr:row>
      <xdr:rowOff>66675</xdr:rowOff>
    </xdr:from>
    <xdr:ext cx="5162550" cy="3190875"/>
    <xdr:pic>
      <xdr:nvPicPr>
        <xdr:cNvPr id="2" name="Chart1" title="Gráfico">
          <a:extLst>
            <a:ext uri="{FF2B5EF4-FFF2-40B4-BE49-F238E27FC236}">
              <a16:creationId xmlns:a16="http://schemas.microsoft.com/office/drawing/2014/main" id="{9C3CC145-D7A0-4181-A119-B976EAE512B7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419850" y="5438775"/>
          <a:ext cx="5162550" cy="319087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</xdr:row>
      <xdr:rowOff>0</xdr:rowOff>
    </xdr:from>
    <xdr:ext cx="419100" cy="200025"/>
    <xdr:pic>
      <xdr:nvPicPr>
        <xdr:cNvPr id="3" name="image2.png">
          <a:extLst>
            <a:ext uri="{FF2B5EF4-FFF2-40B4-BE49-F238E27FC236}">
              <a16:creationId xmlns:a16="http://schemas.microsoft.com/office/drawing/2014/main" id="{8C7D4536-279E-4A41-9101-78D961A48EA6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762000"/>
          <a:ext cx="419100" cy="2000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5151F-9E72-49F4-8546-34D3D7866BD6}">
  <dimension ref="A1:V97"/>
  <sheetViews>
    <sheetView tabSelected="1" workbookViewId="0">
      <selection sqref="A1:XFD1048576"/>
    </sheetView>
  </sheetViews>
  <sheetFormatPr defaultColWidth="12.5703125" defaultRowHeight="15.75" customHeight="1" outlineLevelRow="1"/>
  <cols>
    <col min="1" max="1" width="7.7109375" customWidth="1"/>
    <col min="2" max="2" width="15.5703125" customWidth="1"/>
    <col min="3" max="4" width="13.85546875" customWidth="1"/>
    <col min="5" max="5" width="8.28515625" bestFit="1" customWidth="1"/>
    <col min="6" max="6" width="12.140625" customWidth="1"/>
    <col min="8" max="8" width="12.42578125" customWidth="1"/>
    <col min="9" max="9" width="12" customWidth="1"/>
    <col min="10" max="10" width="12.28515625" customWidth="1"/>
    <col min="11" max="12" width="11.140625" customWidth="1"/>
    <col min="13" max="14" width="11.5703125" customWidth="1"/>
    <col min="18" max="18" width="13.42578125" customWidth="1"/>
    <col min="22" max="22" width="9.42578125" customWidth="1"/>
  </cols>
  <sheetData>
    <row r="1" spans="1:22" ht="3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3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30">
      <c r="A3" s="2"/>
      <c r="B3" s="3"/>
      <c r="C3" s="3"/>
      <c r="D3" s="3"/>
      <c r="E3" s="4" t="s">
        <v>0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6"/>
      <c r="V3" s="1"/>
    </row>
    <row r="4" spans="1:22" ht="30">
      <c r="A4" s="3"/>
      <c r="B4" s="3"/>
      <c r="C4" s="3"/>
      <c r="D4" s="3"/>
      <c r="E4" s="7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8"/>
      <c r="V4" s="1"/>
    </row>
    <row r="5" spans="1:22" ht="30">
      <c r="A5" s="3"/>
      <c r="B5" s="3"/>
      <c r="C5" s="3"/>
      <c r="D5" s="3"/>
      <c r="E5" s="7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8"/>
      <c r="V5" s="1"/>
    </row>
    <row r="6" spans="1:22" ht="30">
      <c r="A6" s="3"/>
      <c r="B6" s="3"/>
      <c r="C6" s="3"/>
      <c r="D6" s="3"/>
      <c r="E6" s="9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1"/>
    </row>
    <row r="7" spans="1:22" ht="30">
      <c r="A7" s="3"/>
      <c r="B7" s="3"/>
      <c r="C7" s="3"/>
      <c r="D7" s="3"/>
      <c r="E7" s="12" t="s">
        <v>1</v>
      </c>
      <c r="F7" s="3"/>
      <c r="G7" s="13" t="s">
        <v>2</v>
      </c>
      <c r="H7" s="3"/>
      <c r="I7" s="14"/>
      <c r="J7" s="1"/>
      <c r="K7" s="1"/>
      <c r="L7" s="12" t="s">
        <v>3</v>
      </c>
      <c r="M7" s="13" t="s">
        <v>4</v>
      </c>
      <c r="N7" s="14"/>
      <c r="O7" s="1"/>
      <c r="P7" s="1"/>
      <c r="Q7" s="12" t="s">
        <v>5</v>
      </c>
      <c r="R7" s="13" t="s">
        <v>6</v>
      </c>
      <c r="S7" s="3"/>
      <c r="T7" s="14"/>
      <c r="U7" s="15"/>
      <c r="V7" s="1"/>
    </row>
    <row r="8" spans="1:22" ht="30">
      <c r="A8" s="3"/>
      <c r="B8" s="3"/>
      <c r="C8" s="3"/>
      <c r="D8" s="3"/>
      <c r="E8" s="16"/>
      <c r="F8" s="17"/>
      <c r="G8" s="16"/>
      <c r="H8" s="17"/>
      <c r="I8" s="18"/>
      <c r="J8" s="1"/>
      <c r="K8" s="1"/>
      <c r="L8" s="16"/>
      <c r="M8" s="16"/>
      <c r="N8" s="18"/>
      <c r="O8" s="1"/>
      <c r="P8" s="1"/>
      <c r="Q8" s="16"/>
      <c r="R8" s="16"/>
      <c r="S8" s="17"/>
      <c r="T8" s="18"/>
      <c r="U8" s="15"/>
      <c r="V8" s="1"/>
    </row>
    <row r="9" spans="1:22" ht="30">
      <c r="A9" s="1"/>
      <c r="B9" s="1"/>
      <c r="C9" s="1"/>
      <c r="D9" s="1"/>
      <c r="E9" s="1"/>
      <c r="F9" s="19"/>
      <c r="G9" s="19"/>
      <c r="H9" s="1"/>
      <c r="I9" s="1"/>
      <c r="J9" s="1"/>
      <c r="K9" s="1"/>
      <c r="L9" s="1"/>
      <c r="M9" s="19"/>
      <c r="N9" s="19"/>
      <c r="O9" s="1"/>
      <c r="P9" s="1"/>
      <c r="Q9" s="1"/>
      <c r="R9" s="19"/>
      <c r="S9" s="19"/>
      <c r="T9" s="19"/>
      <c r="U9" s="1"/>
      <c r="V9" s="1"/>
    </row>
    <row r="10" spans="1:22" ht="3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3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41.25" customHeight="1">
      <c r="A12" s="20" t="s">
        <v>7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2"/>
      <c r="V12" s="1"/>
    </row>
    <row r="13" spans="1:22" ht="17.25" customHeight="1">
      <c r="A13" s="23"/>
      <c r="B13" s="24"/>
      <c r="C13" s="24"/>
      <c r="D13" s="24"/>
      <c r="E13" s="24"/>
      <c r="F13" s="23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3"/>
      <c r="T13" s="23"/>
      <c r="U13" s="23"/>
      <c r="V13" s="23"/>
    </row>
    <row r="14" spans="1:22" ht="17.25" customHeight="1">
      <c r="A14" s="23"/>
      <c r="B14" s="24"/>
      <c r="C14" s="24"/>
      <c r="D14" s="24"/>
      <c r="E14" s="24"/>
      <c r="F14" s="23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3"/>
      <c r="T14" s="23"/>
      <c r="U14" s="23"/>
      <c r="V14" s="23"/>
    </row>
    <row r="15" spans="1:22" ht="17.25" customHeight="1">
      <c r="A15" s="23"/>
      <c r="B15" s="24"/>
      <c r="C15" s="24"/>
      <c r="D15" s="24"/>
      <c r="E15" s="24"/>
      <c r="F15" s="23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3"/>
      <c r="T15" s="23"/>
      <c r="U15" s="23"/>
      <c r="V15" s="23"/>
    </row>
    <row r="16" spans="1:22" ht="17.25" customHeight="1">
      <c r="A16" s="23"/>
      <c r="B16" s="24"/>
      <c r="C16" s="24"/>
      <c r="D16" s="24"/>
      <c r="E16" s="24"/>
      <c r="F16" s="23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3"/>
      <c r="T16" s="23"/>
      <c r="U16" s="23"/>
      <c r="V16" s="23"/>
    </row>
    <row r="17" spans="1:22" ht="25.5" customHeight="1">
      <c r="A17" s="23"/>
      <c r="B17" s="26" t="s">
        <v>8</v>
      </c>
      <c r="C17" s="21"/>
      <c r="D17" s="21"/>
      <c r="E17" s="21"/>
      <c r="F17" s="21"/>
      <c r="G17" s="22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3"/>
      <c r="T17" s="23"/>
      <c r="U17" s="23"/>
      <c r="V17" s="23"/>
    </row>
    <row r="18" spans="1:22" ht="21" customHeight="1">
      <c r="A18" s="23"/>
      <c r="B18" s="27" t="s">
        <v>9</v>
      </c>
      <c r="C18" s="6"/>
      <c r="D18" s="27" t="s">
        <v>10</v>
      </c>
      <c r="E18" s="6"/>
      <c r="F18" s="28" t="s">
        <v>11</v>
      </c>
      <c r="G18" s="22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3"/>
      <c r="T18" s="23"/>
      <c r="U18" s="23"/>
      <c r="V18" s="23"/>
    </row>
    <row r="19" spans="1:22" ht="17.25" customHeight="1">
      <c r="A19" s="23"/>
      <c r="B19" s="29" t="s">
        <v>12</v>
      </c>
      <c r="C19" s="22"/>
      <c r="D19" s="30">
        <v>9600</v>
      </c>
      <c r="E19" s="22"/>
      <c r="F19" s="31">
        <f>D19/D28</f>
        <v>0.41025641025641024</v>
      </c>
      <c r="G19" s="22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3"/>
      <c r="T19" s="23"/>
      <c r="U19" s="23"/>
      <c r="V19" s="23"/>
    </row>
    <row r="20" spans="1:22" ht="17.25" customHeight="1">
      <c r="A20" s="23"/>
      <c r="B20" s="29" t="s">
        <v>13</v>
      </c>
      <c r="C20" s="22"/>
      <c r="D20" s="30">
        <v>8400</v>
      </c>
      <c r="E20" s="22"/>
      <c r="F20" s="31">
        <f>D20/D28</f>
        <v>0.35897435897435898</v>
      </c>
      <c r="G20" s="22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3"/>
      <c r="T20" s="23"/>
      <c r="U20" s="23"/>
      <c r="V20" s="23"/>
    </row>
    <row r="21" spans="1:22" ht="17.25" customHeight="1">
      <c r="A21" s="23"/>
      <c r="B21" s="29" t="s">
        <v>14</v>
      </c>
      <c r="C21" s="22"/>
      <c r="D21" s="30">
        <v>3000</v>
      </c>
      <c r="E21" s="22"/>
      <c r="F21" s="31">
        <f>D21/D28</f>
        <v>0.12820512820512819</v>
      </c>
      <c r="G21" s="22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3"/>
      <c r="T21" s="23"/>
      <c r="U21" s="23"/>
      <c r="V21" s="23"/>
    </row>
    <row r="22" spans="1:22" ht="17.25" customHeight="1">
      <c r="A22" s="23"/>
      <c r="B22" s="29" t="s">
        <v>15</v>
      </c>
      <c r="C22" s="22"/>
      <c r="D22" s="30">
        <v>2400</v>
      </c>
      <c r="E22" s="22"/>
      <c r="F22" s="31">
        <f>D22/D28</f>
        <v>0.10256410256410256</v>
      </c>
      <c r="G22" s="22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3"/>
      <c r="T22" s="23"/>
      <c r="U22" s="23"/>
      <c r="V22" s="23"/>
    </row>
    <row r="23" spans="1:22" ht="17.25" customHeight="1">
      <c r="A23" s="23"/>
      <c r="B23" s="29"/>
      <c r="C23" s="22"/>
      <c r="D23" s="30">
        <v>0</v>
      </c>
      <c r="E23" s="22"/>
      <c r="F23" s="31">
        <f>D23/D28</f>
        <v>0</v>
      </c>
      <c r="G23" s="22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3"/>
      <c r="T23" s="23"/>
      <c r="U23" s="23"/>
      <c r="V23" s="23"/>
    </row>
    <row r="24" spans="1:22" ht="17.25" customHeight="1">
      <c r="A24" s="23"/>
      <c r="B24" s="29"/>
      <c r="C24" s="22"/>
      <c r="D24" s="30">
        <v>0</v>
      </c>
      <c r="E24" s="22"/>
      <c r="F24" s="31">
        <f>D24/D28</f>
        <v>0</v>
      </c>
      <c r="G24" s="22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3"/>
      <c r="T24" s="23"/>
      <c r="U24" s="23"/>
      <c r="V24" s="23"/>
    </row>
    <row r="25" spans="1:22" ht="17.25" customHeight="1">
      <c r="A25" s="23"/>
      <c r="B25" s="29"/>
      <c r="C25" s="22"/>
      <c r="D25" s="30">
        <v>0</v>
      </c>
      <c r="E25" s="22"/>
      <c r="F25" s="31">
        <f>D25/D28</f>
        <v>0</v>
      </c>
      <c r="G25" s="22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3"/>
      <c r="T25" s="23"/>
      <c r="U25" s="23"/>
      <c r="V25" s="23"/>
    </row>
    <row r="26" spans="1:22" ht="17.25" customHeight="1">
      <c r="A26" s="23"/>
      <c r="B26" s="29"/>
      <c r="C26" s="22"/>
      <c r="D26" s="30">
        <v>0</v>
      </c>
      <c r="E26" s="22"/>
      <c r="F26" s="31">
        <f>D26/D28</f>
        <v>0</v>
      </c>
      <c r="G26" s="22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3"/>
      <c r="T26" s="23"/>
      <c r="U26" s="23"/>
      <c r="V26" s="23"/>
    </row>
    <row r="27" spans="1:22" ht="17.25" customHeight="1">
      <c r="A27" s="23"/>
      <c r="B27" s="29"/>
      <c r="C27" s="22"/>
      <c r="D27" s="30">
        <v>0</v>
      </c>
      <c r="E27" s="22"/>
      <c r="F27" s="31">
        <f>D27/D28</f>
        <v>0</v>
      </c>
      <c r="G27" s="22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3"/>
      <c r="T27" s="23"/>
      <c r="U27" s="23"/>
      <c r="V27" s="23"/>
    </row>
    <row r="28" spans="1:22" ht="17.25" customHeight="1">
      <c r="A28" s="23"/>
      <c r="B28" s="32" t="s">
        <v>16</v>
      </c>
      <c r="C28" s="22"/>
      <c r="D28" s="33">
        <f>SUM(D19:E27)</f>
        <v>23400</v>
      </c>
      <c r="E28" s="22"/>
      <c r="F28" s="34">
        <f>SUM(F19:G27)</f>
        <v>0.99999999999999989</v>
      </c>
      <c r="G28" s="22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3"/>
      <c r="T28" s="23"/>
      <c r="U28" s="23"/>
      <c r="V28" s="23"/>
    </row>
    <row r="29" spans="1:22" ht="17.25" customHeight="1">
      <c r="A29" s="23"/>
      <c r="B29" s="24"/>
      <c r="C29" s="24"/>
      <c r="D29" s="24"/>
      <c r="E29" s="24"/>
      <c r="F29" s="23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3"/>
      <c r="T29" s="23"/>
      <c r="U29" s="23"/>
      <c r="V29" s="23"/>
    </row>
    <row r="30" spans="1:22" ht="17.25" customHeight="1">
      <c r="A30" s="23"/>
      <c r="B30" s="24"/>
      <c r="C30" s="24"/>
      <c r="D30" s="24"/>
      <c r="E30" s="24"/>
      <c r="F30" s="23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3"/>
      <c r="T30" s="23"/>
      <c r="U30" s="23"/>
      <c r="V30" s="23"/>
    </row>
    <row r="31" spans="1:22" ht="17.25" customHeight="1">
      <c r="A31" s="23"/>
      <c r="B31" s="24"/>
      <c r="C31" s="24"/>
      <c r="D31" s="24"/>
      <c r="E31" s="24"/>
      <c r="F31" s="23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3"/>
      <c r="T31" s="23"/>
      <c r="U31" s="23"/>
      <c r="V31" s="23"/>
    </row>
    <row r="32" spans="1:22" ht="17.25" customHeight="1">
      <c r="A32" s="23"/>
      <c r="B32" s="24"/>
      <c r="C32" s="24"/>
      <c r="D32" s="24"/>
      <c r="E32" s="24"/>
      <c r="F32" s="23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3"/>
      <c r="T32" s="23"/>
      <c r="U32" s="23"/>
      <c r="V32" s="23"/>
    </row>
    <row r="33" spans="1:22" ht="17.25" customHeight="1">
      <c r="A33" s="23"/>
      <c r="B33" s="24"/>
      <c r="C33" s="24"/>
      <c r="D33" s="24"/>
      <c r="E33" s="24"/>
      <c r="F33" s="23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3"/>
      <c r="T33" s="23"/>
      <c r="U33" s="23"/>
      <c r="V33" s="23"/>
    </row>
    <row r="34" spans="1:22" ht="17.25" customHeight="1">
      <c r="A34" s="23"/>
      <c r="B34" s="24"/>
      <c r="C34" s="24"/>
      <c r="D34" s="24"/>
      <c r="E34" s="24"/>
      <c r="F34" s="23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3"/>
      <c r="T34" s="23"/>
      <c r="U34" s="23"/>
      <c r="V34" s="23"/>
    </row>
    <row r="35" spans="1:22" ht="42.75" customHeight="1">
      <c r="A35" s="20" t="s">
        <v>7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2"/>
      <c r="V35" s="23"/>
    </row>
    <row r="36" spans="1:22" ht="17.25" customHeight="1">
      <c r="A36" s="23"/>
      <c r="B36" s="24"/>
      <c r="C36" s="24"/>
      <c r="D36" s="24"/>
      <c r="E36" s="24"/>
      <c r="F36" s="23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3"/>
      <c r="T36" s="23"/>
      <c r="U36" s="23"/>
      <c r="V36" s="23"/>
    </row>
    <row r="37" spans="1:22" ht="17.25" customHeight="1">
      <c r="A37" s="23"/>
      <c r="B37" s="24"/>
      <c r="C37" s="24"/>
      <c r="D37" s="24"/>
      <c r="E37" s="24"/>
      <c r="F37" s="23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3"/>
      <c r="T37" s="23"/>
      <c r="U37" s="23"/>
      <c r="V37" s="23"/>
    </row>
    <row r="38" spans="1:22" ht="17.25" customHeight="1">
      <c r="A38" s="23"/>
      <c r="B38" s="24"/>
      <c r="C38" s="24"/>
      <c r="D38" s="24"/>
      <c r="E38" s="24"/>
      <c r="F38" s="23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3"/>
      <c r="T38" s="23"/>
      <c r="U38" s="23"/>
      <c r="V38" s="23"/>
    </row>
    <row r="39" spans="1:22" ht="17.25" customHeight="1">
      <c r="A39" s="23"/>
      <c r="B39" s="35"/>
      <c r="C39" s="35"/>
      <c r="D39" s="35"/>
      <c r="E39" s="35"/>
      <c r="F39" s="35"/>
      <c r="G39" s="36" t="s">
        <v>17</v>
      </c>
      <c r="H39" s="10"/>
      <c r="I39" s="11"/>
      <c r="J39" s="37" t="s">
        <v>18</v>
      </c>
      <c r="K39" s="10"/>
      <c r="L39" s="11"/>
      <c r="M39" s="38" t="s">
        <v>19</v>
      </c>
      <c r="N39" s="10"/>
      <c r="O39" s="11"/>
      <c r="P39" s="37" t="s">
        <v>20</v>
      </c>
      <c r="Q39" s="10"/>
      <c r="R39" s="10"/>
      <c r="S39" s="35"/>
      <c r="T39" s="35"/>
      <c r="U39" s="35"/>
      <c r="V39" s="24"/>
    </row>
    <row r="40" spans="1:22" ht="15">
      <c r="A40" s="39"/>
      <c r="B40" s="40" t="s">
        <v>9</v>
      </c>
      <c r="C40" s="41" t="s">
        <v>21</v>
      </c>
      <c r="D40" s="41" t="s">
        <v>22</v>
      </c>
      <c r="E40" s="41" t="s">
        <v>23</v>
      </c>
      <c r="F40" s="41" t="s">
        <v>24</v>
      </c>
      <c r="G40" s="42" t="s">
        <v>25</v>
      </c>
      <c r="H40" s="42" t="s">
        <v>26</v>
      </c>
      <c r="I40" s="42" t="s">
        <v>27</v>
      </c>
      <c r="J40" s="43" t="s">
        <v>28</v>
      </c>
      <c r="K40" s="43" t="s">
        <v>29</v>
      </c>
      <c r="L40" s="43" t="s">
        <v>30</v>
      </c>
      <c r="M40" s="42" t="s">
        <v>31</v>
      </c>
      <c r="N40" s="42" t="s">
        <v>32</v>
      </c>
      <c r="O40" s="42" t="s">
        <v>33</v>
      </c>
      <c r="P40" s="43" t="s">
        <v>34</v>
      </c>
      <c r="Q40" s="43" t="s">
        <v>35</v>
      </c>
      <c r="R40" s="43" t="s">
        <v>36</v>
      </c>
      <c r="S40" s="44" t="s">
        <v>37</v>
      </c>
      <c r="T40" s="44" t="s">
        <v>38</v>
      </c>
      <c r="U40" s="45" t="s">
        <v>39</v>
      </c>
      <c r="V40" s="46"/>
    </row>
    <row r="41" spans="1:22" ht="23.25" customHeight="1">
      <c r="A41" s="39"/>
      <c r="B41" s="47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9"/>
      <c r="V41" s="46"/>
    </row>
    <row r="42" spans="1:22" ht="32.25" customHeight="1">
      <c r="A42" s="39"/>
      <c r="B42" s="50" t="s">
        <v>12</v>
      </c>
      <c r="C42" s="51" t="s">
        <v>40</v>
      </c>
      <c r="D42" s="52" t="s">
        <v>41</v>
      </c>
      <c r="E42" s="53">
        <v>0.65</v>
      </c>
      <c r="F42" s="54">
        <v>520</v>
      </c>
      <c r="G42" s="55">
        <v>500</v>
      </c>
      <c r="H42" s="56">
        <v>518</v>
      </c>
      <c r="I42" s="56">
        <v>525</v>
      </c>
      <c r="J42" s="56">
        <v>540</v>
      </c>
      <c r="K42" s="56">
        <v>550</v>
      </c>
      <c r="L42" s="56">
        <v>545</v>
      </c>
      <c r="M42" s="56">
        <v>580</v>
      </c>
      <c r="N42" s="56">
        <v>570</v>
      </c>
      <c r="O42" s="56">
        <v>1200</v>
      </c>
      <c r="P42" s="56">
        <v>974</v>
      </c>
      <c r="Q42" s="56">
        <v>10000</v>
      </c>
      <c r="R42" s="56">
        <v>370</v>
      </c>
      <c r="S42" s="57" t="s">
        <v>42</v>
      </c>
      <c r="T42" s="58">
        <v>50</v>
      </c>
      <c r="U42" s="59">
        <f t="shared" ref="U42:U44" si="0">F42/T42</f>
        <v>10.4</v>
      </c>
      <c r="V42" s="46"/>
    </row>
    <row r="43" spans="1:22" ht="33" customHeight="1">
      <c r="A43" s="39"/>
      <c r="B43" s="60"/>
      <c r="C43" s="51" t="s">
        <v>40</v>
      </c>
      <c r="D43" s="52" t="s">
        <v>43</v>
      </c>
      <c r="E43" s="53">
        <v>0.25</v>
      </c>
      <c r="F43" s="54">
        <v>200</v>
      </c>
      <c r="G43" s="61">
        <v>180</v>
      </c>
      <c r="H43" s="62">
        <v>167</v>
      </c>
      <c r="I43" s="62">
        <v>190</v>
      </c>
      <c r="J43" s="62">
        <v>200</v>
      </c>
      <c r="K43" s="62">
        <v>230</v>
      </c>
      <c r="L43" s="62">
        <v>247</v>
      </c>
      <c r="M43" s="62">
        <v>280</v>
      </c>
      <c r="N43" s="62">
        <v>280</v>
      </c>
      <c r="O43" s="62">
        <v>800</v>
      </c>
      <c r="P43" s="62">
        <v>250</v>
      </c>
      <c r="Q43" s="62">
        <v>5064</v>
      </c>
      <c r="R43" s="62">
        <v>376</v>
      </c>
      <c r="S43" s="57" t="s">
        <v>44</v>
      </c>
      <c r="T43" s="58">
        <v>50</v>
      </c>
      <c r="U43" s="59">
        <f t="shared" si="0"/>
        <v>4</v>
      </c>
      <c r="V43" s="46"/>
    </row>
    <row r="44" spans="1:22" ht="33" customHeight="1">
      <c r="A44" s="39"/>
      <c r="B44" s="60"/>
      <c r="C44" s="51" t="s">
        <v>45</v>
      </c>
      <c r="D44" s="52" t="s">
        <v>46</v>
      </c>
      <c r="E44" s="53">
        <v>0.1</v>
      </c>
      <c r="F44" s="54">
        <v>80</v>
      </c>
      <c r="G44" s="61">
        <v>80</v>
      </c>
      <c r="H44" s="63">
        <v>80</v>
      </c>
      <c r="I44" s="63">
        <v>77</v>
      </c>
      <c r="J44" s="63">
        <v>52</v>
      </c>
      <c r="K44" s="63">
        <v>46</v>
      </c>
      <c r="L44" s="63">
        <v>30</v>
      </c>
      <c r="M44" s="63" t="s">
        <v>47</v>
      </c>
      <c r="N44" s="63" t="s">
        <v>47</v>
      </c>
      <c r="O44" s="63">
        <v>1500</v>
      </c>
      <c r="P44" s="63">
        <v>3000</v>
      </c>
      <c r="Q44" s="63">
        <v>1000</v>
      </c>
      <c r="R44" s="63">
        <v>400</v>
      </c>
      <c r="S44" s="57" t="s">
        <v>48</v>
      </c>
      <c r="T44" s="58">
        <v>2</v>
      </c>
      <c r="U44" s="59">
        <f t="shared" si="0"/>
        <v>40</v>
      </c>
      <c r="V44" s="46"/>
    </row>
    <row r="45" spans="1:22" ht="33" customHeight="1">
      <c r="A45" s="39"/>
      <c r="B45" s="60"/>
      <c r="C45" s="51"/>
      <c r="D45" s="52"/>
      <c r="E45" s="53"/>
      <c r="F45" s="64"/>
      <c r="G45" s="61"/>
      <c r="H45" s="63"/>
      <c r="I45" s="63"/>
      <c r="J45" s="63"/>
      <c r="K45" s="63"/>
      <c r="L45" s="63"/>
      <c r="M45" s="63"/>
      <c r="N45" s="63"/>
      <c r="O45" s="63"/>
      <c r="P45" s="63"/>
      <c r="Q45" s="63"/>
      <c r="R45" s="63"/>
      <c r="S45" s="57"/>
      <c r="T45" s="58"/>
      <c r="U45" s="59">
        <v>0</v>
      </c>
      <c r="V45" s="46"/>
    </row>
    <row r="46" spans="1:22" ht="33" customHeight="1">
      <c r="A46" s="39"/>
      <c r="B46" s="47"/>
      <c r="C46" s="51"/>
      <c r="D46" s="52"/>
      <c r="E46" s="53"/>
      <c r="F46" s="54"/>
      <c r="G46" s="65"/>
      <c r="H46" s="66"/>
      <c r="I46" s="66"/>
      <c r="J46" s="66"/>
      <c r="K46" s="66"/>
      <c r="L46" s="66"/>
      <c r="M46" s="66"/>
      <c r="N46" s="66"/>
      <c r="O46" s="66"/>
      <c r="P46" s="66"/>
      <c r="Q46" s="66"/>
      <c r="R46" s="66"/>
      <c r="S46" s="57"/>
      <c r="T46" s="58"/>
      <c r="U46" s="59">
        <v>0</v>
      </c>
      <c r="V46" s="46"/>
    </row>
    <row r="47" spans="1:22" ht="21" customHeight="1">
      <c r="A47" s="39"/>
      <c r="B47" s="67" t="s">
        <v>49</v>
      </c>
      <c r="C47" s="68"/>
      <c r="D47" s="69"/>
      <c r="E47" s="70">
        <f t="shared" ref="E47:R47" si="1">SUM(E42:E46)</f>
        <v>1</v>
      </c>
      <c r="F47" s="71">
        <f t="shared" si="1"/>
        <v>800</v>
      </c>
      <c r="G47" s="72">
        <f t="shared" si="1"/>
        <v>760</v>
      </c>
      <c r="H47" s="72">
        <f t="shared" si="1"/>
        <v>765</v>
      </c>
      <c r="I47" s="72">
        <f t="shared" si="1"/>
        <v>792</v>
      </c>
      <c r="J47" s="72">
        <f t="shared" si="1"/>
        <v>792</v>
      </c>
      <c r="K47" s="72">
        <f t="shared" si="1"/>
        <v>826</v>
      </c>
      <c r="L47" s="72">
        <f t="shared" si="1"/>
        <v>822</v>
      </c>
      <c r="M47" s="72">
        <f t="shared" si="1"/>
        <v>860</v>
      </c>
      <c r="N47" s="72">
        <f t="shared" si="1"/>
        <v>850</v>
      </c>
      <c r="O47" s="72">
        <f t="shared" si="1"/>
        <v>3500</v>
      </c>
      <c r="P47" s="72">
        <f t="shared" si="1"/>
        <v>4224</v>
      </c>
      <c r="Q47" s="72">
        <f t="shared" si="1"/>
        <v>16064</v>
      </c>
      <c r="R47" s="72">
        <f t="shared" si="1"/>
        <v>1146</v>
      </c>
      <c r="S47" s="73">
        <f>SUM(G47:R47)</f>
        <v>31401</v>
      </c>
      <c r="T47" s="74"/>
      <c r="U47" s="75">
        <f>SUM(U42:U46)</f>
        <v>54.4</v>
      </c>
      <c r="V47" s="46"/>
    </row>
    <row r="48" spans="1:22" ht="15.75" customHeight="1">
      <c r="A48" s="76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35.25" customHeight="1">
      <c r="A49" s="39"/>
      <c r="B49" s="77" t="s">
        <v>13</v>
      </c>
      <c r="C49" s="78" t="s">
        <v>40</v>
      </c>
      <c r="D49" s="79" t="s">
        <v>50</v>
      </c>
      <c r="E49" s="80">
        <v>0.4</v>
      </c>
      <c r="F49" s="81">
        <v>280</v>
      </c>
      <c r="G49" s="61">
        <v>200</v>
      </c>
      <c r="H49" s="62">
        <v>230</v>
      </c>
      <c r="I49" s="62">
        <v>260</v>
      </c>
      <c r="J49" s="62">
        <v>270</v>
      </c>
      <c r="K49" s="62">
        <v>280</v>
      </c>
      <c r="L49" s="62">
        <v>280</v>
      </c>
      <c r="M49" s="62">
        <v>280</v>
      </c>
      <c r="N49" s="62">
        <v>280</v>
      </c>
      <c r="O49" s="62">
        <v>500</v>
      </c>
      <c r="P49" s="62">
        <v>100</v>
      </c>
      <c r="Q49" s="82">
        <v>3500</v>
      </c>
      <c r="R49" s="61">
        <v>459</v>
      </c>
      <c r="S49" s="83" t="s">
        <v>44</v>
      </c>
      <c r="T49" s="84">
        <v>50</v>
      </c>
      <c r="U49" s="85">
        <f t="shared" ref="U49:U51" si="2">F49/T49</f>
        <v>5.6</v>
      </c>
      <c r="V49" s="46"/>
    </row>
    <row r="50" spans="1:22" ht="34.5" customHeight="1">
      <c r="A50" s="39"/>
      <c r="B50" s="60"/>
      <c r="C50" s="51" t="s">
        <v>40</v>
      </c>
      <c r="D50" s="86" t="s">
        <v>51</v>
      </c>
      <c r="E50" s="53">
        <v>0.2</v>
      </c>
      <c r="F50" s="54">
        <v>140</v>
      </c>
      <c r="G50" s="61">
        <v>97</v>
      </c>
      <c r="H50" s="62">
        <v>103</v>
      </c>
      <c r="I50" s="62">
        <v>111</v>
      </c>
      <c r="J50" s="62">
        <v>123</v>
      </c>
      <c r="K50" s="62">
        <v>128</v>
      </c>
      <c r="L50" s="62">
        <v>134</v>
      </c>
      <c r="M50" s="62">
        <v>140</v>
      </c>
      <c r="N50" s="62">
        <v>140</v>
      </c>
      <c r="O50" s="62">
        <v>500</v>
      </c>
      <c r="P50" s="62">
        <v>300</v>
      </c>
      <c r="Q50" s="82">
        <v>210</v>
      </c>
      <c r="R50" s="61">
        <v>459</v>
      </c>
      <c r="S50" s="57" t="s">
        <v>42</v>
      </c>
      <c r="T50" s="58">
        <v>10</v>
      </c>
      <c r="U50" s="59">
        <f t="shared" si="2"/>
        <v>14</v>
      </c>
      <c r="V50" s="46"/>
    </row>
    <row r="51" spans="1:22" ht="34.5" customHeight="1">
      <c r="A51" s="39"/>
      <c r="B51" s="60"/>
      <c r="C51" s="51" t="s">
        <v>45</v>
      </c>
      <c r="D51" s="86" t="s">
        <v>46</v>
      </c>
      <c r="E51" s="53">
        <v>0.4</v>
      </c>
      <c r="F51" s="54">
        <v>280</v>
      </c>
      <c r="G51" s="87">
        <v>120</v>
      </c>
      <c r="H51" s="63">
        <v>180</v>
      </c>
      <c r="I51" s="63">
        <v>198</v>
      </c>
      <c r="J51" s="63">
        <v>206</v>
      </c>
      <c r="K51" s="63">
        <v>240</v>
      </c>
      <c r="L51" s="63">
        <v>238</v>
      </c>
      <c r="M51" s="63">
        <v>255</v>
      </c>
      <c r="N51" s="63">
        <v>276</v>
      </c>
      <c r="O51" s="63">
        <v>750</v>
      </c>
      <c r="P51" s="63">
        <v>400</v>
      </c>
      <c r="Q51" s="88">
        <v>790</v>
      </c>
      <c r="R51" s="61">
        <v>540</v>
      </c>
      <c r="S51" s="57" t="s">
        <v>52</v>
      </c>
      <c r="T51" s="58">
        <v>1000</v>
      </c>
      <c r="U51" s="59">
        <f t="shared" si="2"/>
        <v>0.28000000000000003</v>
      </c>
      <c r="V51" s="46"/>
    </row>
    <row r="52" spans="1:22" ht="34.5" customHeight="1">
      <c r="A52" s="39"/>
      <c r="B52" s="60"/>
      <c r="C52" s="51"/>
      <c r="D52" s="86"/>
      <c r="E52" s="53"/>
      <c r="F52" s="64"/>
      <c r="G52" s="87"/>
      <c r="H52" s="63"/>
      <c r="I52" s="63"/>
      <c r="J52" s="63"/>
      <c r="K52" s="63"/>
      <c r="L52" s="63"/>
      <c r="M52" s="63"/>
      <c r="N52" s="63"/>
      <c r="O52" s="63"/>
      <c r="P52" s="63"/>
      <c r="Q52" s="88"/>
      <c r="R52" s="61"/>
      <c r="S52" s="57"/>
      <c r="T52" s="58"/>
      <c r="U52" s="59">
        <v>0</v>
      </c>
      <c r="V52" s="46"/>
    </row>
    <row r="53" spans="1:22" ht="34.5" customHeight="1">
      <c r="A53" s="39"/>
      <c r="B53" s="47"/>
      <c r="C53" s="51"/>
      <c r="D53" s="86"/>
      <c r="E53" s="53"/>
      <c r="F53" s="54"/>
      <c r="G53" s="65"/>
      <c r="H53" s="66"/>
      <c r="I53" s="66"/>
      <c r="J53" s="66"/>
      <c r="K53" s="66"/>
      <c r="L53" s="66"/>
      <c r="M53" s="66"/>
      <c r="N53" s="66"/>
      <c r="O53" s="66"/>
      <c r="P53" s="66"/>
      <c r="Q53" s="89"/>
      <c r="R53" s="87"/>
      <c r="S53" s="57"/>
      <c r="T53" s="58"/>
      <c r="U53" s="59">
        <v>0</v>
      </c>
      <c r="V53" s="46"/>
    </row>
    <row r="54" spans="1:22" ht="24" customHeight="1">
      <c r="A54" s="39"/>
      <c r="B54" s="67" t="s">
        <v>53</v>
      </c>
      <c r="C54" s="68"/>
      <c r="D54" s="69"/>
      <c r="E54" s="70">
        <f t="shared" ref="E54:R54" si="3">SUM(E49:E53)</f>
        <v>1</v>
      </c>
      <c r="F54" s="71">
        <f t="shared" si="3"/>
        <v>700</v>
      </c>
      <c r="G54" s="72">
        <f t="shared" si="3"/>
        <v>417</v>
      </c>
      <c r="H54" s="72">
        <f t="shared" si="3"/>
        <v>513</v>
      </c>
      <c r="I54" s="72">
        <f t="shared" si="3"/>
        <v>569</v>
      </c>
      <c r="J54" s="72">
        <f t="shared" si="3"/>
        <v>599</v>
      </c>
      <c r="K54" s="72">
        <f t="shared" si="3"/>
        <v>648</v>
      </c>
      <c r="L54" s="72">
        <f t="shared" si="3"/>
        <v>652</v>
      </c>
      <c r="M54" s="72">
        <f t="shared" si="3"/>
        <v>675</v>
      </c>
      <c r="N54" s="72">
        <f t="shared" si="3"/>
        <v>696</v>
      </c>
      <c r="O54" s="72">
        <f t="shared" si="3"/>
        <v>1750</v>
      </c>
      <c r="P54" s="72">
        <f t="shared" si="3"/>
        <v>800</v>
      </c>
      <c r="Q54" s="72">
        <f t="shared" si="3"/>
        <v>4500</v>
      </c>
      <c r="R54" s="90">
        <f t="shared" si="3"/>
        <v>1458</v>
      </c>
      <c r="S54" s="73">
        <f>SUM(G54:R54)</f>
        <v>13277</v>
      </c>
      <c r="T54" s="74"/>
      <c r="U54" s="75">
        <f>SUM(U49:U50)</f>
        <v>19.600000000000001</v>
      </c>
      <c r="V54" s="46"/>
    </row>
    <row r="55" spans="1:22" ht="18" customHeight="1">
      <c r="A55" s="76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33.75" customHeight="1">
      <c r="A56" s="39"/>
      <c r="B56" s="77" t="s">
        <v>14</v>
      </c>
      <c r="C56" s="78" t="s">
        <v>40</v>
      </c>
      <c r="D56" s="79" t="s">
        <v>54</v>
      </c>
      <c r="E56" s="80">
        <v>0.7</v>
      </c>
      <c r="F56" s="81">
        <v>210</v>
      </c>
      <c r="G56" s="61">
        <v>200</v>
      </c>
      <c r="H56" s="62">
        <v>210</v>
      </c>
      <c r="I56" s="62">
        <v>210</v>
      </c>
      <c r="J56" s="62">
        <v>210</v>
      </c>
      <c r="K56" s="62">
        <v>300</v>
      </c>
      <c r="L56" s="62">
        <v>300</v>
      </c>
      <c r="M56" s="62">
        <v>300</v>
      </c>
      <c r="N56" s="62">
        <v>300</v>
      </c>
      <c r="O56" s="62">
        <v>230</v>
      </c>
      <c r="P56" s="62">
        <v>456</v>
      </c>
      <c r="Q56" s="82">
        <v>700</v>
      </c>
      <c r="R56" s="61">
        <v>600</v>
      </c>
      <c r="S56" s="83" t="s">
        <v>44</v>
      </c>
      <c r="T56" s="84">
        <v>50</v>
      </c>
      <c r="U56" s="85">
        <f t="shared" ref="U56:U57" si="4">F56/T56</f>
        <v>4.2</v>
      </c>
      <c r="V56" s="46"/>
    </row>
    <row r="57" spans="1:22" ht="33" customHeight="1">
      <c r="A57" s="39"/>
      <c r="B57" s="60"/>
      <c r="C57" s="51" t="s">
        <v>40</v>
      </c>
      <c r="D57" s="86" t="s">
        <v>55</v>
      </c>
      <c r="E57" s="53">
        <v>0.3</v>
      </c>
      <c r="F57" s="54">
        <v>90</v>
      </c>
      <c r="G57" s="61">
        <v>90</v>
      </c>
      <c r="H57" s="61">
        <v>90</v>
      </c>
      <c r="I57" s="61">
        <v>90</v>
      </c>
      <c r="J57" s="61">
        <v>90</v>
      </c>
      <c r="K57" s="62" t="s">
        <v>47</v>
      </c>
      <c r="L57" s="62" t="s">
        <v>47</v>
      </c>
      <c r="M57" s="62" t="s">
        <v>47</v>
      </c>
      <c r="N57" s="62" t="s">
        <v>47</v>
      </c>
      <c r="O57" s="62">
        <v>400</v>
      </c>
      <c r="P57" s="62">
        <v>400</v>
      </c>
      <c r="Q57" s="82">
        <v>400</v>
      </c>
      <c r="R57" s="61">
        <v>870</v>
      </c>
      <c r="S57" s="57" t="s">
        <v>42</v>
      </c>
      <c r="T57" s="58">
        <v>10</v>
      </c>
      <c r="U57" s="59">
        <f t="shared" si="4"/>
        <v>9</v>
      </c>
      <c r="V57" s="46"/>
    </row>
    <row r="58" spans="1:22" ht="33" customHeight="1">
      <c r="A58" s="39"/>
      <c r="B58" s="60"/>
      <c r="C58" s="51"/>
      <c r="D58" s="86"/>
      <c r="E58" s="53"/>
      <c r="F58" s="54"/>
      <c r="G58" s="87"/>
      <c r="H58" s="63"/>
      <c r="I58" s="63"/>
      <c r="J58" s="63"/>
      <c r="K58" s="63"/>
      <c r="L58" s="63"/>
      <c r="M58" s="63"/>
      <c r="N58" s="63"/>
      <c r="O58" s="63"/>
      <c r="P58" s="63"/>
      <c r="Q58" s="88"/>
      <c r="R58" s="61"/>
      <c r="S58" s="57"/>
      <c r="T58" s="58"/>
      <c r="U58" s="59">
        <v>0</v>
      </c>
      <c r="V58" s="46"/>
    </row>
    <row r="59" spans="1:22" ht="33" customHeight="1">
      <c r="A59" s="39"/>
      <c r="B59" s="60"/>
      <c r="C59" s="51"/>
      <c r="D59" s="86"/>
      <c r="E59" s="53"/>
      <c r="F59" s="64"/>
      <c r="G59" s="87"/>
      <c r="H59" s="63"/>
      <c r="I59" s="63"/>
      <c r="J59" s="63"/>
      <c r="K59" s="63"/>
      <c r="L59" s="63"/>
      <c r="M59" s="63"/>
      <c r="N59" s="63"/>
      <c r="O59" s="63"/>
      <c r="P59" s="63"/>
      <c r="Q59" s="88"/>
      <c r="R59" s="61"/>
      <c r="S59" s="57"/>
      <c r="T59" s="58"/>
      <c r="U59" s="59">
        <v>0</v>
      </c>
      <c r="V59" s="46"/>
    </row>
    <row r="60" spans="1:22" ht="33" customHeight="1">
      <c r="A60" s="39"/>
      <c r="B60" s="47"/>
      <c r="C60" s="51"/>
      <c r="D60" s="86"/>
      <c r="E60" s="53"/>
      <c r="F60" s="54"/>
      <c r="G60" s="65"/>
      <c r="H60" s="66"/>
      <c r="I60" s="66"/>
      <c r="J60" s="66"/>
      <c r="K60" s="66"/>
      <c r="L60" s="66"/>
      <c r="M60" s="66"/>
      <c r="N60" s="66"/>
      <c r="O60" s="66"/>
      <c r="P60" s="66"/>
      <c r="Q60" s="89"/>
      <c r="R60" s="87"/>
      <c r="S60" s="57"/>
      <c r="T60" s="58"/>
      <c r="U60" s="59">
        <v>0</v>
      </c>
      <c r="V60" s="46"/>
    </row>
    <row r="61" spans="1:22" ht="24" customHeight="1">
      <c r="A61" s="39"/>
      <c r="B61" s="67" t="s">
        <v>56</v>
      </c>
      <c r="C61" s="68"/>
      <c r="D61" s="69"/>
      <c r="E61" s="70">
        <f t="shared" ref="E61:R61" si="5">SUM(E56:E60)</f>
        <v>1</v>
      </c>
      <c r="F61" s="71">
        <f t="shared" si="5"/>
        <v>300</v>
      </c>
      <c r="G61" s="72">
        <f t="shared" si="5"/>
        <v>290</v>
      </c>
      <c r="H61" s="72">
        <f t="shared" si="5"/>
        <v>300</v>
      </c>
      <c r="I61" s="72">
        <f t="shared" si="5"/>
        <v>300</v>
      </c>
      <c r="J61" s="72">
        <f t="shared" si="5"/>
        <v>300</v>
      </c>
      <c r="K61" s="72">
        <f t="shared" si="5"/>
        <v>300</v>
      </c>
      <c r="L61" s="72">
        <f t="shared" si="5"/>
        <v>300</v>
      </c>
      <c r="M61" s="72">
        <f t="shared" si="5"/>
        <v>300</v>
      </c>
      <c r="N61" s="72">
        <f t="shared" si="5"/>
        <v>300</v>
      </c>
      <c r="O61" s="72">
        <f t="shared" si="5"/>
        <v>630</v>
      </c>
      <c r="P61" s="72">
        <f t="shared" si="5"/>
        <v>856</v>
      </c>
      <c r="Q61" s="72">
        <f t="shared" si="5"/>
        <v>1100</v>
      </c>
      <c r="R61" s="90">
        <f t="shared" si="5"/>
        <v>1470</v>
      </c>
      <c r="S61" s="73">
        <f>SUM(G61:R61)</f>
        <v>6446</v>
      </c>
      <c r="T61" s="74"/>
      <c r="U61" s="75">
        <f>SUM(U56:U57)</f>
        <v>13.2</v>
      </c>
      <c r="V61" s="46"/>
    </row>
    <row r="62" spans="1:22" ht="16.5" customHeight="1">
      <c r="A62" s="76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32.25" customHeight="1">
      <c r="A63" s="39"/>
      <c r="B63" s="77" t="s">
        <v>15</v>
      </c>
      <c r="C63" s="78" t="s">
        <v>45</v>
      </c>
      <c r="D63" s="79" t="s">
        <v>46</v>
      </c>
      <c r="E63" s="80">
        <v>1</v>
      </c>
      <c r="F63" s="81">
        <v>200</v>
      </c>
      <c r="G63" s="61">
        <v>200</v>
      </c>
      <c r="H63" s="62">
        <v>200</v>
      </c>
      <c r="I63" s="62">
        <v>200</v>
      </c>
      <c r="J63" s="62">
        <v>200</v>
      </c>
      <c r="K63" s="62">
        <v>200</v>
      </c>
      <c r="L63" s="62">
        <v>200</v>
      </c>
      <c r="M63" s="62">
        <v>200</v>
      </c>
      <c r="N63" s="62">
        <v>200</v>
      </c>
      <c r="O63" s="62"/>
      <c r="P63" s="62"/>
      <c r="Q63" s="82"/>
      <c r="R63" s="61"/>
      <c r="S63" s="83" t="s">
        <v>57</v>
      </c>
      <c r="T63" s="84">
        <v>10</v>
      </c>
      <c r="U63" s="85">
        <f>F63/T63</f>
        <v>20</v>
      </c>
      <c r="V63" s="46"/>
    </row>
    <row r="64" spans="1:22" ht="32.25" customHeight="1">
      <c r="A64" s="39"/>
      <c r="B64" s="60"/>
      <c r="C64" s="51"/>
      <c r="D64" s="86"/>
      <c r="E64" s="53"/>
      <c r="F64" s="54"/>
      <c r="G64" s="61"/>
      <c r="H64" s="61"/>
      <c r="I64" s="61"/>
      <c r="J64" s="61"/>
      <c r="K64" s="62"/>
      <c r="L64" s="62"/>
      <c r="M64" s="62"/>
      <c r="N64" s="62"/>
      <c r="O64" s="62"/>
      <c r="P64" s="62"/>
      <c r="Q64" s="82"/>
      <c r="R64" s="61"/>
      <c r="S64" s="57"/>
      <c r="T64" s="58"/>
      <c r="U64" s="59">
        <v>0</v>
      </c>
      <c r="V64" s="46"/>
    </row>
    <row r="65" spans="1:22" ht="32.25" customHeight="1">
      <c r="A65" s="39"/>
      <c r="B65" s="60"/>
      <c r="C65" s="51"/>
      <c r="D65" s="86"/>
      <c r="E65" s="53"/>
      <c r="F65" s="54"/>
      <c r="G65" s="87"/>
      <c r="H65" s="63"/>
      <c r="I65" s="63"/>
      <c r="J65" s="63"/>
      <c r="K65" s="63"/>
      <c r="L65" s="63"/>
      <c r="M65" s="63"/>
      <c r="N65" s="63"/>
      <c r="O65" s="63"/>
      <c r="P65" s="63"/>
      <c r="Q65" s="88"/>
      <c r="R65" s="61"/>
      <c r="S65" s="57"/>
      <c r="T65" s="58"/>
      <c r="U65" s="59">
        <v>0</v>
      </c>
      <c r="V65" s="46"/>
    </row>
    <row r="66" spans="1:22" ht="32.25" customHeight="1">
      <c r="A66" s="39"/>
      <c r="B66" s="60"/>
      <c r="C66" s="51"/>
      <c r="D66" s="86"/>
      <c r="E66" s="53"/>
      <c r="F66" s="64"/>
      <c r="G66" s="87"/>
      <c r="H66" s="63"/>
      <c r="I66" s="63"/>
      <c r="J66" s="63"/>
      <c r="K66" s="63"/>
      <c r="L66" s="63"/>
      <c r="M66" s="63"/>
      <c r="N66" s="63"/>
      <c r="O66" s="63"/>
      <c r="P66" s="63"/>
      <c r="Q66" s="88"/>
      <c r="R66" s="61"/>
      <c r="S66" s="57"/>
      <c r="T66" s="58"/>
      <c r="U66" s="59">
        <v>0</v>
      </c>
      <c r="V66" s="46"/>
    </row>
    <row r="67" spans="1:22" ht="35.25" customHeight="1">
      <c r="A67" s="39"/>
      <c r="B67" s="47"/>
      <c r="C67" s="51"/>
      <c r="D67" s="86"/>
      <c r="E67" s="53"/>
      <c r="F67" s="54"/>
      <c r="G67" s="65"/>
      <c r="H67" s="66"/>
      <c r="I67" s="66"/>
      <c r="J67" s="66"/>
      <c r="K67" s="66"/>
      <c r="L67" s="66"/>
      <c r="M67" s="66"/>
      <c r="N67" s="66"/>
      <c r="O67" s="66"/>
      <c r="P67" s="66"/>
      <c r="Q67" s="89"/>
      <c r="R67" s="87"/>
      <c r="S67" s="57"/>
      <c r="T67" s="58"/>
      <c r="U67" s="59">
        <v>0</v>
      </c>
      <c r="V67" s="46"/>
    </row>
    <row r="68" spans="1:22" ht="21.75" customHeight="1">
      <c r="A68" s="39"/>
      <c r="B68" s="67" t="s">
        <v>58</v>
      </c>
      <c r="C68" s="68"/>
      <c r="D68" s="69"/>
      <c r="E68" s="70">
        <f t="shared" ref="E68:R68" si="6">SUM(E63:E67)</f>
        <v>1</v>
      </c>
      <c r="F68" s="71">
        <f t="shared" si="6"/>
        <v>200</v>
      </c>
      <c r="G68" s="72">
        <f t="shared" si="6"/>
        <v>200</v>
      </c>
      <c r="H68" s="72">
        <f t="shared" si="6"/>
        <v>200</v>
      </c>
      <c r="I68" s="72">
        <f t="shared" si="6"/>
        <v>200</v>
      </c>
      <c r="J68" s="72">
        <f t="shared" si="6"/>
        <v>200</v>
      </c>
      <c r="K68" s="72">
        <f t="shared" si="6"/>
        <v>200</v>
      </c>
      <c r="L68" s="72">
        <f t="shared" si="6"/>
        <v>200</v>
      </c>
      <c r="M68" s="72">
        <f t="shared" si="6"/>
        <v>200</v>
      </c>
      <c r="N68" s="72">
        <f t="shared" si="6"/>
        <v>200</v>
      </c>
      <c r="O68" s="72">
        <f t="shared" si="6"/>
        <v>0</v>
      </c>
      <c r="P68" s="72">
        <f t="shared" si="6"/>
        <v>0</v>
      </c>
      <c r="Q68" s="72">
        <f t="shared" si="6"/>
        <v>0</v>
      </c>
      <c r="R68" s="90">
        <f t="shared" si="6"/>
        <v>0</v>
      </c>
      <c r="S68" s="73">
        <f>SUM(G68:R68)</f>
        <v>1600</v>
      </c>
      <c r="T68" s="74"/>
      <c r="U68" s="75">
        <f>SUM(U63:U64)</f>
        <v>20</v>
      </c>
      <c r="V68" s="46"/>
    </row>
    <row r="69" spans="1:22" ht="16.5" customHeight="1">
      <c r="A69" s="76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35.25" customHeight="1">
      <c r="A70" s="39"/>
      <c r="B70" s="77"/>
      <c r="C70" s="78"/>
      <c r="D70" s="79"/>
      <c r="E70" s="80"/>
      <c r="F70" s="81"/>
      <c r="G70" s="61"/>
      <c r="H70" s="62"/>
      <c r="I70" s="62"/>
      <c r="J70" s="62"/>
      <c r="K70" s="62"/>
      <c r="L70" s="62"/>
      <c r="M70" s="62"/>
      <c r="N70" s="62"/>
      <c r="O70" s="62"/>
      <c r="P70" s="62"/>
      <c r="Q70" s="82"/>
      <c r="R70" s="61"/>
      <c r="S70" s="83"/>
      <c r="T70" s="84"/>
      <c r="U70" s="85">
        <v>0</v>
      </c>
      <c r="V70" s="46"/>
    </row>
    <row r="71" spans="1:22" ht="32.25" customHeight="1">
      <c r="A71" s="39"/>
      <c r="B71" s="60"/>
      <c r="C71" s="51"/>
      <c r="D71" s="86"/>
      <c r="E71" s="53"/>
      <c r="F71" s="54"/>
      <c r="G71" s="61"/>
      <c r="H71" s="61"/>
      <c r="I71" s="61"/>
      <c r="J71" s="61"/>
      <c r="K71" s="62"/>
      <c r="L71" s="62"/>
      <c r="M71" s="62"/>
      <c r="N71" s="62"/>
      <c r="O71" s="62"/>
      <c r="P71" s="62"/>
      <c r="Q71" s="82"/>
      <c r="R71" s="61"/>
      <c r="S71" s="57"/>
      <c r="T71" s="58"/>
      <c r="U71" s="59">
        <v>0</v>
      </c>
      <c r="V71" s="46"/>
    </row>
    <row r="72" spans="1:22" ht="33" customHeight="1">
      <c r="A72" s="39"/>
      <c r="B72" s="60"/>
      <c r="C72" s="51"/>
      <c r="D72" s="86"/>
      <c r="E72" s="53"/>
      <c r="F72" s="54"/>
      <c r="G72" s="87"/>
      <c r="H72" s="63"/>
      <c r="I72" s="63"/>
      <c r="J72" s="63"/>
      <c r="K72" s="63"/>
      <c r="L72" s="63"/>
      <c r="M72" s="63"/>
      <c r="N72" s="63"/>
      <c r="O72" s="63"/>
      <c r="P72" s="63"/>
      <c r="Q72" s="88"/>
      <c r="R72" s="61"/>
      <c r="S72" s="57"/>
      <c r="T72" s="58"/>
      <c r="U72" s="59">
        <v>0</v>
      </c>
      <c r="V72" s="46"/>
    </row>
    <row r="73" spans="1:22" ht="33.75" customHeight="1">
      <c r="A73" s="39"/>
      <c r="B73" s="60"/>
      <c r="C73" s="51"/>
      <c r="D73" s="86"/>
      <c r="E73" s="53"/>
      <c r="F73" s="64"/>
      <c r="G73" s="87"/>
      <c r="H73" s="63"/>
      <c r="I73" s="63"/>
      <c r="J73" s="63"/>
      <c r="K73" s="63"/>
      <c r="L73" s="63"/>
      <c r="M73" s="63"/>
      <c r="N73" s="63"/>
      <c r="O73" s="63"/>
      <c r="P73" s="63"/>
      <c r="Q73" s="88"/>
      <c r="R73" s="61"/>
      <c r="S73" s="57"/>
      <c r="T73" s="58"/>
      <c r="U73" s="59">
        <v>0</v>
      </c>
      <c r="V73" s="46"/>
    </row>
    <row r="74" spans="1:22" ht="33.75" customHeight="1">
      <c r="A74" s="39"/>
      <c r="B74" s="47"/>
      <c r="C74" s="51"/>
      <c r="D74" s="86"/>
      <c r="E74" s="53"/>
      <c r="F74" s="54"/>
      <c r="G74" s="65"/>
      <c r="H74" s="66"/>
      <c r="I74" s="66"/>
      <c r="J74" s="66"/>
      <c r="K74" s="66"/>
      <c r="L74" s="66"/>
      <c r="M74" s="66"/>
      <c r="N74" s="66"/>
      <c r="O74" s="66"/>
      <c r="P74" s="66"/>
      <c r="Q74" s="89"/>
      <c r="R74" s="87"/>
      <c r="S74" s="57"/>
      <c r="T74" s="58"/>
      <c r="U74" s="59">
        <v>0</v>
      </c>
      <c r="V74" s="46"/>
    </row>
    <row r="75" spans="1:22" ht="16.5" customHeight="1">
      <c r="A75" s="39"/>
      <c r="B75" s="67" t="s">
        <v>58</v>
      </c>
      <c r="C75" s="68"/>
      <c r="D75" s="69"/>
      <c r="E75" s="70">
        <f t="shared" ref="E75:R75" si="7">SUM(E70:E74)</f>
        <v>0</v>
      </c>
      <c r="F75" s="71">
        <f t="shared" si="7"/>
        <v>0</v>
      </c>
      <c r="G75" s="72">
        <f t="shared" si="7"/>
        <v>0</v>
      </c>
      <c r="H75" s="72">
        <f t="shared" si="7"/>
        <v>0</v>
      </c>
      <c r="I75" s="72">
        <f t="shared" si="7"/>
        <v>0</v>
      </c>
      <c r="J75" s="72">
        <f t="shared" si="7"/>
        <v>0</v>
      </c>
      <c r="K75" s="72">
        <f t="shared" si="7"/>
        <v>0</v>
      </c>
      <c r="L75" s="72">
        <f t="shared" si="7"/>
        <v>0</v>
      </c>
      <c r="M75" s="72">
        <f t="shared" si="7"/>
        <v>0</v>
      </c>
      <c r="N75" s="72">
        <f t="shared" si="7"/>
        <v>0</v>
      </c>
      <c r="O75" s="72">
        <f t="shared" si="7"/>
        <v>0</v>
      </c>
      <c r="P75" s="72">
        <f t="shared" si="7"/>
        <v>0</v>
      </c>
      <c r="Q75" s="72">
        <f t="shared" si="7"/>
        <v>0</v>
      </c>
      <c r="R75" s="90">
        <f t="shared" si="7"/>
        <v>0</v>
      </c>
      <c r="S75" s="73">
        <f>SUM(G75:R75)</f>
        <v>0</v>
      </c>
      <c r="T75" s="74"/>
      <c r="U75" s="75">
        <f>SUM(U70:U71)</f>
        <v>0</v>
      </c>
      <c r="V75" s="46"/>
    </row>
    <row r="76" spans="1:22" ht="16.5" customHeight="1">
      <c r="A76" s="76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32.25" customHeight="1">
      <c r="A77" s="23"/>
      <c r="B77" s="91" t="s">
        <v>59</v>
      </c>
      <c r="C77" s="3"/>
      <c r="D77" s="92"/>
      <c r="E77" s="93">
        <f>F28</f>
        <v>0.99999999999999989</v>
      </c>
      <c r="F77" s="94">
        <f>D28</f>
        <v>23400</v>
      </c>
      <c r="G77" s="94">
        <f t="shared" ref="G77:R77" si="8">SUM(G47,G54,G61,G68,G75)</f>
        <v>1667</v>
      </c>
      <c r="H77" s="94">
        <f t="shared" si="8"/>
        <v>1778</v>
      </c>
      <c r="I77" s="94">
        <f t="shared" si="8"/>
        <v>1861</v>
      </c>
      <c r="J77" s="94">
        <f t="shared" si="8"/>
        <v>1891</v>
      </c>
      <c r="K77" s="94">
        <f t="shared" si="8"/>
        <v>1974</v>
      </c>
      <c r="L77" s="94">
        <f t="shared" si="8"/>
        <v>1974</v>
      </c>
      <c r="M77" s="94">
        <f t="shared" si="8"/>
        <v>2035</v>
      </c>
      <c r="N77" s="94">
        <f t="shared" si="8"/>
        <v>2046</v>
      </c>
      <c r="O77" s="94">
        <f t="shared" si="8"/>
        <v>5880</v>
      </c>
      <c r="P77" s="94">
        <f t="shared" si="8"/>
        <v>5880</v>
      </c>
      <c r="Q77" s="94">
        <f t="shared" si="8"/>
        <v>21664</v>
      </c>
      <c r="R77" s="94">
        <f t="shared" si="8"/>
        <v>4074</v>
      </c>
      <c r="S77" s="95">
        <f>SUM(G77:R77)</f>
        <v>52724</v>
      </c>
      <c r="T77" s="24"/>
      <c r="U77" s="24"/>
      <c r="V77" s="24"/>
    </row>
    <row r="78" spans="1:22" ht="15">
      <c r="A78" s="23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</row>
    <row r="79" spans="1:22" ht="15">
      <c r="A79" s="23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</row>
    <row r="80" spans="1:22" ht="15">
      <c r="A80" s="23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</row>
    <row r="81" spans="1:22" ht="15">
      <c r="A81" s="23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</row>
    <row r="82" spans="1:22" ht="15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</row>
    <row r="83" spans="1:22" ht="15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</row>
    <row r="84" spans="1:22" ht="15">
      <c r="A84" s="24"/>
      <c r="B84" s="24"/>
      <c r="C84" s="96" t="s">
        <v>60</v>
      </c>
      <c r="D84" s="10"/>
      <c r="E84" s="10"/>
      <c r="F84" s="10"/>
      <c r="G84" s="10"/>
      <c r="H84" s="10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</row>
    <row r="85" spans="1:22" ht="15">
      <c r="A85" s="24"/>
      <c r="B85" s="24"/>
      <c r="C85" s="97" t="s">
        <v>61</v>
      </c>
      <c r="D85" s="5"/>
      <c r="E85" s="5"/>
      <c r="F85" s="5"/>
      <c r="G85" s="5"/>
      <c r="H85" s="5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</row>
    <row r="86" spans="1:22" ht="15" collapsed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</row>
    <row r="87" spans="1:22" ht="15" hidden="1" outlineLevel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</row>
    <row r="88" spans="1:22" ht="15" hidden="1" outlineLevel="1">
      <c r="A88" s="24"/>
      <c r="B88" s="24"/>
      <c r="C88" s="98" t="s">
        <v>62</v>
      </c>
      <c r="D88" s="21"/>
      <c r="E88" s="21"/>
      <c r="F88" s="21"/>
      <c r="G88" s="21"/>
      <c r="H88" s="21"/>
      <c r="I88" s="22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</row>
    <row r="89" spans="1:22" ht="15" hidden="1" outlineLevel="1">
      <c r="A89" s="24"/>
      <c r="B89" s="24"/>
      <c r="C89" s="99"/>
      <c r="D89" s="99"/>
      <c r="E89" s="99"/>
      <c r="F89" s="99"/>
      <c r="G89" s="99"/>
      <c r="H89" s="99"/>
      <c r="I89" s="99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</row>
    <row r="90" spans="1:22" ht="15" hidden="1" outlineLevel="1">
      <c r="A90" s="24"/>
      <c r="B90" s="100"/>
      <c r="C90" s="101" t="s">
        <v>63</v>
      </c>
      <c r="D90" s="5"/>
      <c r="E90" s="5"/>
      <c r="F90" s="5"/>
      <c r="G90" s="5"/>
      <c r="H90" s="5"/>
      <c r="I90" s="5"/>
      <c r="J90" s="6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</row>
    <row r="91" spans="1:22" ht="15" hidden="1" outlineLevel="1">
      <c r="A91" s="24"/>
      <c r="B91" s="100"/>
      <c r="C91" s="102"/>
      <c r="D91" s="3"/>
      <c r="E91" s="3"/>
      <c r="F91" s="3"/>
      <c r="G91" s="3"/>
      <c r="H91" s="3"/>
      <c r="I91" s="3"/>
      <c r="J91" s="8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</row>
    <row r="92" spans="1:22" ht="15" hidden="1" outlineLevel="1">
      <c r="A92" s="24"/>
      <c r="B92" s="100"/>
      <c r="C92" s="102"/>
      <c r="D92" s="3"/>
      <c r="E92" s="3"/>
      <c r="F92" s="3"/>
      <c r="G92" s="3"/>
      <c r="H92" s="3"/>
      <c r="I92" s="3"/>
      <c r="J92" s="8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</row>
    <row r="93" spans="1:22" ht="15" hidden="1" outlineLevel="1">
      <c r="A93" s="24"/>
      <c r="B93" s="100"/>
      <c r="C93" s="103"/>
      <c r="D93" s="10"/>
      <c r="E93" s="10"/>
      <c r="F93" s="10"/>
      <c r="G93" s="10"/>
      <c r="H93" s="10"/>
      <c r="I93" s="10"/>
      <c r="J93" s="11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</row>
    <row r="94" spans="1:22" ht="15" hidden="1" outlineLevel="1">
      <c r="A94" s="24"/>
      <c r="B94" s="24"/>
      <c r="C94" s="99"/>
      <c r="D94" s="99"/>
      <c r="E94" s="99"/>
      <c r="F94" s="99"/>
      <c r="G94" s="99"/>
      <c r="H94" s="99"/>
      <c r="I94" s="99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</row>
    <row r="95" spans="1:22" ht="15" hidden="1" outlineLevel="1">
      <c r="A95" s="24"/>
      <c r="B95" s="24"/>
      <c r="C95" s="99" t="s">
        <v>64</v>
      </c>
      <c r="D95" s="99"/>
      <c r="E95" s="99"/>
      <c r="F95" s="99"/>
      <c r="G95" s="99"/>
      <c r="H95" s="99"/>
      <c r="I95" s="99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</row>
    <row r="96" spans="1:22" ht="15" hidden="1" outlineLevel="1">
      <c r="A96" s="24"/>
      <c r="B96" s="24"/>
      <c r="C96" s="99"/>
      <c r="D96" s="99"/>
      <c r="E96" s="99"/>
      <c r="F96" s="99"/>
      <c r="G96" s="99"/>
      <c r="H96" s="99"/>
      <c r="I96" s="99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</row>
    <row r="97" spans="1:22" ht="15">
      <c r="A97" s="24"/>
      <c r="B97" s="24"/>
      <c r="C97" s="99"/>
      <c r="D97" s="99"/>
      <c r="E97" s="99"/>
      <c r="F97" s="99"/>
      <c r="G97" s="99"/>
      <c r="H97" s="99"/>
      <c r="I97" s="99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</row>
  </sheetData>
  <mergeCells count="88">
    <mergeCell ref="C84:H84"/>
    <mergeCell ref="C85:H85"/>
    <mergeCell ref="C88:I88"/>
    <mergeCell ref="C90:J93"/>
    <mergeCell ref="B68:D68"/>
    <mergeCell ref="A69:V69"/>
    <mergeCell ref="B70:B74"/>
    <mergeCell ref="B75:D75"/>
    <mergeCell ref="A76:V76"/>
    <mergeCell ref="B77:D77"/>
    <mergeCell ref="B54:D54"/>
    <mergeCell ref="A55:V55"/>
    <mergeCell ref="B56:B60"/>
    <mergeCell ref="B61:D61"/>
    <mergeCell ref="A62:V62"/>
    <mergeCell ref="B63:B67"/>
    <mergeCell ref="T40:T41"/>
    <mergeCell ref="U40:U41"/>
    <mergeCell ref="B42:B46"/>
    <mergeCell ref="B47:D47"/>
    <mergeCell ref="A48:V48"/>
    <mergeCell ref="B49:B53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B40:B41"/>
    <mergeCell ref="C40:C41"/>
    <mergeCell ref="D40:D41"/>
    <mergeCell ref="E40:E41"/>
    <mergeCell ref="F40:F41"/>
    <mergeCell ref="G40:G41"/>
    <mergeCell ref="B28:C28"/>
    <mergeCell ref="D28:E28"/>
    <mergeCell ref="F28:G28"/>
    <mergeCell ref="A35:U35"/>
    <mergeCell ref="G39:I39"/>
    <mergeCell ref="J39:L39"/>
    <mergeCell ref="M39:O39"/>
    <mergeCell ref="P39:R39"/>
    <mergeCell ref="B26:C26"/>
    <mergeCell ref="D26:E26"/>
    <mergeCell ref="F26:G26"/>
    <mergeCell ref="B27:C27"/>
    <mergeCell ref="D27:E27"/>
    <mergeCell ref="F27:G27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A12:U12"/>
    <mergeCell ref="B17:G17"/>
    <mergeCell ref="B18:C18"/>
    <mergeCell ref="D18:E18"/>
    <mergeCell ref="F18:G18"/>
    <mergeCell ref="B19:C19"/>
    <mergeCell ref="D19:E19"/>
    <mergeCell ref="F19:G19"/>
    <mergeCell ref="A3:D8"/>
    <mergeCell ref="E3:U6"/>
    <mergeCell ref="E7:F8"/>
    <mergeCell ref="G7:I8"/>
    <mergeCell ref="L7:L8"/>
    <mergeCell ref="M7:N8"/>
    <mergeCell ref="Q7:Q8"/>
    <mergeCell ref="R7:T8"/>
  </mergeCells>
  <dataValidations count="10">
    <dataValidation type="list" allowBlank="1" sqref="S53 S60 S67 S74" xr:uid="{CE9D9A8F-C655-4BEC-A3A1-198B2320497E}">
      <formula1>"Impressões,Conversão,Tráfego,Leads,Conv/Leads,Otimizações,Views,Envolvimento"</formula1>
    </dataValidation>
    <dataValidation type="list" allowBlank="1" sqref="G40:R40" xr:uid="{9706D816-FD9A-4C29-8473-E448FBFCF1E4}">
      <formula1>"JANEIRO,FEVEREIRO,MARÇO,ABRIL,MAIO,JUNHO,JULHO,AGOSTO,SETEMBRO,OUTUBRO,NOVEMBRO,DEZEMBRO"</formula1>
    </dataValidation>
    <dataValidation type="list" allowBlank="1" sqref="S42:S46 S49:S52 S56:S59 S63:S66 S70:S73" xr:uid="{DAF47238-41FC-4F01-AE7B-2D1E30BF58C6}">
      <formula1>"Impressões,Conversão,Tráfego,Leads,Cliente,Views"</formula1>
    </dataValidation>
    <dataValidation type="list" allowBlank="1" sqref="D42:D46" xr:uid="{7CDA45C4-78D9-4683-9309-ECA3C3FDB03F}">
      <formula1>"Page Post/Carrossel/Stories/Video,Page Post/Carrossel/Stories,Page Post/Carrossel,Page Post,Carrossel,Stories,Video,Post Patrocinado,Search,Display,InMail,Content,TextAds,Native,Otimização"</formula1>
    </dataValidation>
    <dataValidation type="list" allowBlank="1" sqref="D49:D53 D56:D60 D63:D67 D70:D74" xr:uid="{6CFCCD53-8C2A-4F16-9653-C53B9056C6D8}">
      <formula1>"Page Post/Carrossel/Stories/Video,Page Post/Carrossel/Stories,Page Post/Carrossel,Page Post,Carrossel,Stories,Video,Post Patrocinado,Search,Display,InMail,Content,TextAds,Otimização,Remarketing"</formula1>
    </dataValidation>
    <dataValidation type="list" allowBlank="1" sqref="B77" xr:uid="{F694C159-0DEE-4456-8730-7B9B3C828278}">
      <formula1>"TOTAL GOOGLE,TOTAL FACEBOOK,TOTAL LINKEDIN,TOTAL OATH,TOTAL PREDICTA,TOTAL KENSHOO,TOTAL INFOMONEY,TOTAL ADMINISTRADORES,TOTAL GO FOR LEADS,TOTAL TWITTER,INVESTIMENTO TOTAL"</formula1>
    </dataValidation>
    <dataValidation type="list" allowBlank="1" sqref="C42:C46 C49:C53 C56:C60 C63:C67 C70:C74" xr:uid="{50B15300-F218-4197-9EAA-C345CED57CCC}">
      <formula1>"CPC,CPM,CPV,CPD,CPL,NENHUM"</formula1>
    </dataValidation>
    <dataValidation type="list" allowBlank="1" sqref="B19:B27 B42 B49 B56 B63 B70" xr:uid="{890968FD-0B5E-40A5-AD79-35E14333DAB7}">
      <formula1>"Google Ads,Meta Ads,LinkedIn Ads,Twitter Ads,YouTube Ads,Mídia Programática,Bing Ads,Marketplace,Outros"</formula1>
    </dataValidation>
    <dataValidation type="list" allowBlank="1" sqref="B47 B54 B61 B68 B75" xr:uid="{2B9DD907-DFB8-4A83-9015-757B665F6DC5}">
      <formula1>"TOTAL GOOGLE ADS,TOTAL META ADS,TOTAL LINKEDIN ADS,TOTAL TWITTER ADS,TOTAL YOUTUBE ADS,TOTAL MÍDIA PROGRAMÁTICA,TOTAL BING ADS,TOTAL MARKETPLACE,TOTAL OUTROS"</formula1>
    </dataValidation>
    <dataValidation type="list" allowBlank="1" showErrorMessage="1" sqref="R7" xr:uid="{712BE01A-8ECA-407E-9C6F-79F1185CC406}">
      <formula1>"Finalizado,Em produção,Pendente"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Vânia Cristina Bordin Freitas</dc:creator>
  <cp:lastModifiedBy>Vânia Cristina Bordin Freitas</cp:lastModifiedBy>
  <dcterms:created xsi:type="dcterms:W3CDTF">2026-01-08T21:37:42Z</dcterms:created>
  <dcterms:modified xsi:type="dcterms:W3CDTF">2026-01-08T21:38:05Z</dcterms:modified>
</cp:coreProperties>
</file>